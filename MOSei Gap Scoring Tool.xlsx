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ormanapplegate/Desktop/"/>
    </mc:Choice>
  </mc:AlternateContent>
  <xr:revisionPtr revIDLastSave="0" documentId="13_ncr:1_{6DF2E273-DD2E-C24E-BBD3-1B41D374C61B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Assessment" sheetId="1" r:id="rId1"/>
    <sheet name="Dashboard" sheetId="2" r:id="rId2"/>
    <sheet name="SOP &amp; Logic" sheetId="3" r:id="rId3"/>
    <sheet name="Client Summary" sheetId="4" r:id="rId4"/>
  </sheets>
  <definedNames>
    <definedName name="_xlnm.Print_Area" localSheetId="3">'Client Summary'!$A$1:$F$34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8" i="2"/>
  <c r="C18" i="2"/>
  <c r="G17" i="2"/>
  <c r="C17" i="2"/>
  <c r="G16" i="2"/>
  <c r="C16" i="2"/>
  <c r="G15" i="2"/>
  <c r="C15" i="2"/>
  <c r="C7" i="2"/>
  <c r="C7" i="4" s="1"/>
  <c r="A7" i="2"/>
  <c r="C10" i="2" l="1"/>
  <c r="E11" i="4" s="1"/>
  <c r="A7" i="4"/>
  <c r="E7" i="2"/>
  <c r="K3" i="2"/>
  <c r="A10" i="2"/>
  <c r="K4" i="2"/>
  <c r="A11" i="4" l="1"/>
  <c r="K6" i="2"/>
  <c r="E10" i="2"/>
  <c r="G7" i="2"/>
  <c r="E7" i="4" l="1"/>
  <c r="K5" i="2"/>
  <c r="A37" i="2"/>
  <c r="A19" i="4" s="1"/>
  <c r="A34" i="2"/>
  <c r="A15" i="4" s="1"/>
  <c r="C11" i="4"/>
  <c r="G10" i="2"/>
</calcChain>
</file>

<file path=xl/sharedStrings.xml><?xml version="1.0" encoding="utf-8"?>
<sst xmlns="http://schemas.openxmlformats.org/spreadsheetml/2006/main" count="170" uniqueCount="117">
  <si>
    <t>NORMAN’S GAP — ASSESSMENT</t>
  </si>
  <si>
    <t>Use whole-number scores from 1–10. Score from observable evidence, not intention or narrative.</t>
  </si>
  <si>
    <t>EXTERNAL PRESSURE</t>
  </si>
  <si>
    <t>Factor</t>
  </si>
  <si>
    <t>Question / Prompt</t>
  </si>
  <si>
    <t>Score (1–10)</t>
  </si>
  <si>
    <t>Observed Evidence</t>
  </si>
  <si>
    <t>Observer</t>
  </si>
  <si>
    <t>Notes</t>
  </si>
  <si>
    <t>Market Pressure</t>
  </si>
  <si>
    <t>How volatile are market conditions, demand, or competitive dynamics?</t>
  </si>
  <si>
    <t>Operational Pressure</t>
  </si>
  <si>
    <t>How much backlog, constraint, rework, or delivery stress is present?</t>
  </si>
  <si>
    <t>Time Pressure</t>
  </si>
  <si>
    <t>How compressed are timelines, escalations, and decision windows?</t>
  </si>
  <si>
    <t>Risk Pressure</t>
  </si>
  <si>
    <t>How exposed is the company to financial, quality, regulatory, or customer risk?</t>
  </si>
  <si>
    <t>SYSTEM REGULATION</t>
  </si>
  <si>
    <t>Ownership Clarity</t>
  </si>
  <si>
    <t>Are issues assigned immediately to one named owner with outcome accountability?</t>
  </si>
  <si>
    <t>Decision Speed</t>
  </si>
  <si>
    <t>Are decisions made quickly at the right level, without unnecessary delay?</t>
  </si>
  <si>
    <t>Escalation Discipline</t>
  </si>
  <si>
    <t>Do issues move upward early, clearly, and intact, without filtering or softening?</t>
  </si>
  <si>
    <t>KPI Truth</t>
  </si>
  <si>
    <t>Do metrics reflect reality, or are they delayed, summarized, or politicized?</t>
  </si>
  <si>
    <t>LEADER REGULATION</t>
  </si>
  <si>
    <t>Composure Under Pressure</t>
  </si>
  <si>
    <t>Does the leader remain grounded and clear when pressure rises?</t>
  </si>
  <si>
    <t>Decision Quality</t>
  </si>
  <si>
    <t>Does the leader make timely, durable decisions with explicit trade-offs?</t>
  </si>
  <si>
    <t>Ownership Behavior</t>
  </si>
  <si>
    <t>Does the leader take responsibility, or deflect and distribute accountability?</t>
  </si>
  <si>
    <t>Best practice: consultant-led scoring first. Add self-score later only for comparison.</t>
  </si>
  <si>
    <t>NORMAN’S GAP — EXECUTIVE DASHBOARD</t>
  </si>
  <si>
    <t>This version translates the model into more intuitive numbers while preserving the core logic.</t>
  </si>
  <si>
    <t>Metric</t>
  </si>
  <si>
    <t>Scaled Value</t>
  </si>
  <si>
    <t>External Pressure</t>
  </si>
  <si>
    <t>EXECUTIVE SNAPSHOT</t>
  </si>
  <si>
    <t>Internal Regulation</t>
  </si>
  <si>
    <t>Gap Severity /10</t>
  </si>
  <si>
    <t>Gap Index</t>
  </si>
  <si>
    <t>Gap Severity (0–100)</t>
  </si>
  <si>
    <t>Effectiveness x10</t>
  </si>
  <si>
    <t>Regulation Effectiveness</t>
  </si>
  <si>
    <t>Gap Score</t>
  </si>
  <si>
    <t>State</t>
  </si>
  <si>
    <t>Plain-English Read</t>
  </si>
  <si>
    <t>COMPONENT DETAIL</t>
  </si>
  <si>
    <t>Category</t>
  </si>
  <si>
    <t>Score</t>
  </si>
  <si>
    <t>System Regulation</t>
  </si>
  <si>
    <t>Leader Regulation</t>
  </si>
  <si>
    <t>LEGEND — HOW TO READ THE NUMBERS</t>
  </si>
  <si>
    <t>Range</t>
  </si>
  <si>
    <t>Meaning</t>
  </si>
  <si>
    <t>Read it as</t>
  </si>
  <si>
    <t>&lt; 1.00</t>
  </si>
  <si>
    <t>Stable</t>
  </si>
  <si>
    <t>Regulation exceeds pressure</t>
  </si>
  <si>
    <t>1.00 – 1.15</t>
  </si>
  <si>
    <t>Managed Tension</t>
  </si>
  <si>
    <t>Close enough, but watch it</t>
  </si>
  <si>
    <t>1.16 – 1.30</t>
  </si>
  <si>
    <t>Widening Gap</t>
  </si>
  <si>
    <t>Pressure is pulling ahead</t>
  </si>
  <si>
    <t>1.31 – 1.50</t>
  </si>
  <si>
    <t>Instability Forming</t>
  </si>
  <si>
    <t>The system is falling behind</t>
  </si>
  <si>
    <t>&gt; 1.50</t>
  </si>
  <si>
    <t>System Risk</t>
  </si>
  <si>
    <t>Failure is likely without intervention</t>
  </si>
  <si>
    <t>Gap Severity</t>
  </si>
  <si>
    <t>0 – 10</t>
  </si>
  <si>
    <t>Low</t>
  </si>
  <si>
    <t>Minimal misalignment</t>
  </si>
  <si>
    <t>AUTO-WRITTEN INTERPRETATION</t>
  </si>
  <si>
    <t>NORMAN’S GAP — BRIEF SOP &amp; LOGIC</t>
  </si>
  <si>
    <t>CORE FORMULA</t>
  </si>
  <si>
    <t>Gap = Pressure − Regulation</t>
  </si>
  <si>
    <t>WHY THIS TOOL EXISTS</t>
  </si>
  <si>
    <t>It shows whether the client can respond to reality fast enough to matter.</t>
  </si>
  <si>
    <t>STEP 1</t>
  </si>
  <si>
    <t>Complete the Assessment tab using observable evidence. Use 1–10 scores for all factors.</t>
  </si>
  <si>
    <t>STEP 2</t>
  </si>
  <si>
    <t>Review the Dashboard outputs: External Pressure, Internal Regulation, Gap Score, Gap Index, Gap Severity, and Effectiveness %.</t>
  </si>
  <si>
    <t>STEP 3</t>
  </si>
  <si>
    <t>Use Gap Severity and Effectiveness % as your executive-facing translation. Keep Gap Index underneath as the true instrument.</t>
  </si>
  <si>
    <t>PRESSURE</t>
  </si>
  <si>
    <t>What reality is demanding right now.</t>
  </si>
  <si>
    <t>REGULATION</t>
  </si>
  <si>
    <t>The system’s ability to respond effectively.</t>
  </si>
  <si>
    <t>GAP</t>
  </si>
  <si>
    <t>The distance between what is required and what is possible.</t>
  </si>
  <si>
    <t>GAP SEVERITY</t>
  </si>
  <si>
    <t>A 0–100 translation score. Formula: max(0, (Gap Index − 1) × 100).</t>
  </si>
  <si>
    <t>EFFECTIVENESS %</t>
  </si>
  <si>
    <t>How much regulation the system has relative to pressure. Formula: Regulation ÷ Pressure.</t>
  </si>
  <si>
    <t>FINAL RULE</t>
  </si>
  <si>
    <t>The score confirms. It does not explain.</t>
  </si>
  <si>
    <t>NORMAN’S GAP — CLIENT SUMMARY</t>
  </si>
  <si>
    <t>One-page executive summary of current pressure, regulation, gap, and recommended action.</t>
  </si>
  <si>
    <t>Effectiveness %</t>
  </si>
  <si>
    <t>AUTO INTERPRETATION</t>
  </si>
  <si>
    <t>RECOMMENDED NEXT ACTIONS</t>
  </si>
  <si>
    <t>Action Area</t>
  </si>
  <si>
    <t>What to do next</t>
  </si>
  <si>
    <t>Ownership</t>
  </si>
  <si>
    <t>Assign one named owner per issue or initiative. Eliminate shared accountability.</t>
  </si>
  <si>
    <t>Reduce time between signal and decision. Decide at the correct level without unnecessary escalation.</t>
  </si>
  <si>
    <t>Escalation</t>
  </si>
  <si>
    <t>Move issues upward earlier and intact. Remove summarizing and softening of signal.</t>
  </si>
  <si>
    <t>Ensure metrics reflect reality without distortion, delay, or narrative protection.</t>
  </si>
  <si>
    <t>Leadership</t>
  </si>
  <si>
    <t>Strengthen composure, trade-off clarity, and ownership behavior under pressure.</t>
  </si>
  <si>
    <t>CORE PRINCIPLE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</si>
</sst>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A1F33"/>
      <name val="Calibri"/>
      <family val="2"/>
    </font>
    <font>
      <b/>
      <sz val="10"/>
      <color rgb="FFFFFFFF"/>
      <name val="Calibri"/>
      <family val="2"/>
    </font>
    <font>
      <b/>
      <sz val="10"/>
      <color rgb="FF0A1F33"/>
      <name val="Calibri"/>
      <family val="2"/>
    </font>
    <font>
      <b/>
      <sz val="24"/>
      <color rgb="FFFFFFFF"/>
      <name val="Calibri (Body)"/>
    </font>
    <font>
      <sz val="24"/>
      <color theme="1"/>
      <name val="Calibri (Body)"/>
    </font>
    <font>
      <b/>
      <sz val="16"/>
      <color rgb="FF0A1F33"/>
      <name val="Calibri (Body)"/>
    </font>
    <font>
      <sz val="16"/>
      <color rgb="FF000000"/>
      <name val="Calibri (Body)"/>
    </font>
    <font>
      <sz val="16"/>
      <color theme="1"/>
      <name val="Calibri (Body)"/>
    </font>
    <font>
      <sz val="12"/>
      <color rgb="FF000000"/>
      <name val="Calibri (Body)"/>
    </font>
    <font>
      <sz val="12"/>
      <color theme="1"/>
      <name val="Calibri (Body)"/>
    </font>
    <font>
      <b/>
      <sz val="14"/>
      <color rgb="FF0A1F33"/>
      <name val="Calibri (Body)"/>
    </font>
    <font>
      <sz val="14"/>
      <color theme="1"/>
      <name val="Calibri (Body)"/>
    </font>
    <font>
      <b/>
      <sz val="12"/>
      <color rgb="FFFFFFFF"/>
      <name val="Calibri (Body)"/>
    </font>
    <font>
      <b/>
      <sz val="12"/>
      <color rgb="FF0A1F33"/>
      <name val="Calibri (Body)"/>
    </font>
    <font>
      <b/>
      <sz val="14"/>
      <color rgb="FFFFFFFF"/>
      <name val="Calibri (Body)"/>
    </font>
    <font>
      <sz val="14"/>
      <color rgb="FF000000"/>
      <name val="Calibri (Body)"/>
    </font>
    <font>
      <sz val="12"/>
      <color rgb="FF000000"/>
      <name val="Calibri"/>
      <family val="2"/>
      <scheme val="minor"/>
    </font>
    <font>
      <i/>
      <sz val="11"/>
      <color rgb="FF6B7280"/>
      <name val="Calibri (Body)"/>
    </font>
    <font>
      <sz val="11"/>
      <color theme="1"/>
      <name val="Calibri (Body)"/>
    </font>
    <font>
      <b/>
      <sz val="16"/>
      <color rgb="FF0A1F3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A1F33"/>
      </patternFill>
    </fill>
    <fill>
      <patternFill patternType="solid">
        <fgColor rgb="FFEEF3F8"/>
      </patternFill>
    </fill>
    <fill>
      <patternFill patternType="solid">
        <fgColor rgb="FFD4AF37"/>
      </patternFill>
    </fill>
    <fill>
      <patternFill patternType="solid">
        <fgColor rgb="FFFFFFFF"/>
      </patternFill>
    </fill>
    <fill>
      <patternFill patternType="solid">
        <fgColor rgb="FFF7E7A5"/>
      </patternFill>
    </fill>
  </fills>
  <borders count="1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  <border>
      <left/>
      <right/>
      <top style="thin">
        <color rgb="FFBFC7D5"/>
      </top>
      <bottom/>
      <diagonal/>
    </border>
    <border>
      <left/>
      <right style="thin">
        <color rgb="FFBFC7D5"/>
      </right>
      <top style="thin">
        <color rgb="FFBFC7D5"/>
      </top>
      <bottom/>
      <diagonal/>
    </border>
    <border>
      <left/>
      <right/>
      <top style="thin">
        <color rgb="FFBFC7D5"/>
      </top>
      <bottom style="thin">
        <color rgb="FFBFC7D5"/>
      </bottom>
      <diagonal/>
    </border>
    <border>
      <left/>
      <right style="thin">
        <color rgb="FFBFC7D5"/>
      </right>
      <top style="thin">
        <color rgb="FFBFC7D5"/>
      </top>
      <bottom style="thin">
        <color rgb="FFBFC7D5"/>
      </bottom>
      <diagonal/>
    </border>
    <border>
      <left style="thin">
        <color rgb="FFBFC7D5"/>
      </left>
      <right/>
      <top/>
      <bottom/>
      <diagonal/>
    </border>
    <border>
      <left/>
      <right style="thin">
        <color rgb="FFBFC7D5"/>
      </right>
      <top/>
      <bottom/>
      <diagonal/>
    </border>
    <border>
      <left style="thin">
        <color rgb="FFBFC7D5"/>
      </left>
      <right/>
      <top/>
      <bottom style="thin">
        <color rgb="FFBFC7D5"/>
      </bottom>
      <diagonal/>
    </border>
    <border>
      <left/>
      <right/>
      <top/>
      <bottom style="thin">
        <color rgb="FFBFC7D5"/>
      </bottom>
      <diagonal/>
    </border>
    <border>
      <left/>
      <right style="thin">
        <color rgb="FFBFC7D5"/>
      </right>
      <top/>
      <bottom style="thin">
        <color rgb="FFBFC7D5"/>
      </bottom>
      <diagonal/>
    </border>
    <border>
      <left style="thin">
        <color rgb="FFBFC7D5"/>
      </left>
      <right/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64" fontId="16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9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0" borderId="0" xfId="0" applyFont="1"/>
    <xf numFmtId="0" fontId="18" fillId="5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24" fillId="2" borderId="1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4" xfId="0" applyFont="1" applyBorder="1"/>
    <xf numFmtId="0" fontId="23" fillId="0" borderId="5" xfId="0" applyFont="1" applyBorder="1"/>
    <xf numFmtId="0" fontId="9" fillId="3" borderId="1" xfId="0" applyFont="1" applyFill="1" applyBorder="1" applyAlignment="1">
      <alignment horizontal="left" vertical="top" wrapText="1"/>
    </xf>
    <xf numFmtId="0" fontId="10" fillId="0" borderId="2" xfId="0" applyFont="1" applyBorder="1"/>
    <xf numFmtId="0" fontId="10" fillId="0" borderId="3" xfId="0" applyFont="1" applyBorder="1"/>
    <xf numFmtId="0" fontId="10" fillId="0" borderId="6" xfId="0" applyFont="1" applyBorder="1"/>
    <xf numFmtId="0" fontId="10" fillId="0" borderId="0" xfId="0" applyFont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/>
    <xf numFmtId="0" fontId="12" fillId="0" borderId="5" xfId="0" applyFont="1" applyBorder="1"/>
    <xf numFmtId="0" fontId="3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0" fillId="3" borderId="1" xfId="0" applyFont="1" applyFill="1" applyBorder="1" applyAlignment="1">
      <alignment horizontal="left" vertical="center" wrapText="1"/>
    </xf>
    <xf numFmtId="0" fontId="21" fillId="0" borderId="4" xfId="0" applyFont="1" applyBorder="1"/>
    <xf numFmtId="0" fontId="21" fillId="0" borderId="5" xfId="0" applyFont="1" applyBorder="1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5" xfId="0" applyFont="1" applyBorder="1"/>
    <xf numFmtId="164" fontId="16" fillId="3" borderId="1" xfId="0" applyNumberFormat="1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8" xfId="0" applyFont="1" applyBorder="1"/>
    <xf numFmtId="0" fontId="12" fillId="0" borderId="10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4" xfId="0" applyFont="1" applyBorder="1"/>
    <xf numFmtId="0" fontId="14" fillId="0" borderId="5" xfId="0" applyFont="1" applyBorder="1"/>
    <xf numFmtId="0" fontId="11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9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Relationship Between the Numbers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7275132275132274E-2"/>
          <c:y val="5.9700854700854698E-2"/>
          <c:w val="0.88576719576719565"/>
          <c:h val="0.8805982905982906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Dashboard!$K$2</c:f>
              <c:strCache>
                <c:ptCount val="1"/>
                <c:pt idx="0">
                  <c:v>Scaled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Dashboard!$J$3:$J$6</c:f>
              <c:strCache>
                <c:ptCount val="4"/>
                <c:pt idx="0">
                  <c:v>External Pressure</c:v>
                </c:pt>
                <c:pt idx="1">
                  <c:v>Internal Regulation</c:v>
                </c:pt>
                <c:pt idx="2">
                  <c:v>Gap Severity /10</c:v>
                </c:pt>
                <c:pt idx="3">
                  <c:v>Effectiveness x10</c:v>
                </c:pt>
              </c:strCache>
            </c:strRef>
          </c:cat>
          <c:val>
            <c:numRef>
              <c:f>Dashboard!$K$3:$K$6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7947-A57F-F185169ED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Value (scaled 0–10)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Metric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378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="120" zoomScaleNormal="120" workbookViewId="0">
      <pane ySplit="4" topLeftCell="A5" activePane="bottomLeft" state="frozen"/>
      <selection pane="bottomLeft" activeCell="C20" sqref="C20:C22"/>
    </sheetView>
  </sheetViews>
  <sheetFormatPr baseColWidth="10" defaultColWidth="8.83203125" defaultRowHeight="15" x14ac:dyDescent="0.2"/>
  <cols>
    <col min="1" max="1" width="24" customWidth="1"/>
    <col min="2" max="2" width="58" customWidth="1"/>
    <col min="3" max="3" width="14" customWidth="1"/>
    <col min="4" max="4" width="24" customWidth="1"/>
    <col min="5" max="5" width="16" customWidth="1"/>
    <col min="6" max="6" width="24" customWidth="1"/>
  </cols>
  <sheetData>
    <row r="1" spans="1:6" ht="31" x14ac:dyDescent="0.35">
      <c r="A1" s="24" t="s">
        <v>0</v>
      </c>
      <c r="B1" s="25"/>
      <c r="C1" s="25"/>
      <c r="D1" s="25"/>
      <c r="E1" s="25"/>
      <c r="F1" s="26"/>
    </row>
    <row r="2" spans="1:6" x14ac:dyDescent="0.2">
      <c r="A2" s="55" t="s">
        <v>1</v>
      </c>
      <c r="B2" s="50"/>
      <c r="C2" s="50"/>
      <c r="D2" s="50"/>
      <c r="E2" s="50"/>
      <c r="F2" s="51"/>
    </row>
    <row r="4" spans="1:6" x14ac:dyDescent="0.2">
      <c r="A4" s="56" t="s">
        <v>2</v>
      </c>
      <c r="B4" s="50"/>
      <c r="C4" s="50"/>
      <c r="D4" s="50"/>
      <c r="E4" s="50"/>
      <c r="F4" s="51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 t="s">
        <v>9</v>
      </c>
      <c r="B6" s="3" t="s">
        <v>10</v>
      </c>
      <c r="C6" s="4"/>
      <c r="D6" s="3"/>
      <c r="E6" s="5"/>
      <c r="F6" s="3"/>
    </row>
    <row r="7" spans="1:6" x14ac:dyDescent="0.2">
      <c r="A7" s="2" t="s">
        <v>11</v>
      </c>
      <c r="B7" s="3" t="s">
        <v>12</v>
      </c>
      <c r="C7" s="4"/>
      <c r="D7" s="3"/>
      <c r="E7" s="5"/>
      <c r="F7" s="3"/>
    </row>
    <row r="8" spans="1:6" x14ac:dyDescent="0.2">
      <c r="A8" s="2" t="s">
        <v>13</v>
      </c>
      <c r="B8" s="3" t="s">
        <v>14</v>
      </c>
      <c r="C8" s="4"/>
      <c r="D8" s="3"/>
      <c r="E8" s="5"/>
      <c r="F8" s="3"/>
    </row>
    <row r="9" spans="1:6" x14ac:dyDescent="0.2">
      <c r="A9" s="2" t="s">
        <v>15</v>
      </c>
      <c r="B9" s="3" t="s">
        <v>16</v>
      </c>
      <c r="C9" s="4"/>
      <c r="D9" s="3"/>
      <c r="E9" s="5"/>
      <c r="F9" s="3"/>
    </row>
    <row r="11" spans="1:6" x14ac:dyDescent="0.2">
      <c r="A11" s="56" t="s">
        <v>17</v>
      </c>
      <c r="B11" s="50"/>
      <c r="C11" s="50"/>
      <c r="D11" s="50"/>
      <c r="E11" s="50"/>
      <c r="F11" s="51"/>
    </row>
    <row r="12" spans="1:6" x14ac:dyDescent="0.2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</row>
    <row r="13" spans="1:6" ht="27" customHeight="1" x14ac:dyDescent="0.2">
      <c r="A13" s="2" t="s">
        <v>18</v>
      </c>
      <c r="B13" s="3" t="s">
        <v>19</v>
      </c>
      <c r="C13" s="4"/>
      <c r="D13" s="3"/>
      <c r="E13" s="5"/>
      <c r="F13" s="3"/>
    </row>
    <row r="14" spans="1:6" x14ac:dyDescent="0.2">
      <c r="A14" s="2" t="s">
        <v>20</v>
      </c>
      <c r="B14" s="3" t="s">
        <v>21</v>
      </c>
      <c r="C14" s="4"/>
      <c r="D14" s="3"/>
      <c r="E14" s="5"/>
      <c r="F14" s="3"/>
    </row>
    <row r="15" spans="1:6" x14ac:dyDescent="0.2">
      <c r="A15" s="2" t="s">
        <v>22</v>
      </c>
      <c r="B15" s="3" t="s">
        <v>23</v>
      </c>
      <c r="C15" s="4"/>
      <c r="D15" s="3"/>
      <c r="E15" s="5"/>
      <c r="F15" s="3"/>
    </row>
    <row r="16" spans="1:6" x14ac:dyDescent="0.2">
      <c r="A16" s="2" t="s">
        <v>24</v>
      </c>
      <c r="B16" s="3" t="s">
        <v>25</v>
      </c>
      <c r="C16" s="4"/>
      <c r="D16" s="3"/>
      <c r="E16" s="5"/>
      <c r="F16" s="3"/>
    </row>
    <row r="18" spans="1:6" x14ac:dyDescent="0.2">
      <c r="A18" s="56" t="s">
        <v>26</v>
      </c>
      <c r="B18" s="50"/>
      <c r="C18" s="50"/>
      <c r="D18" s="50"/>
      <c r="E18" s="50"/>
      <c r="F18" s="51"/>
    </row>
    <row r="19" spans="1:6" x14ac:dyDescent="0.2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F19" s="1" t="s">
        <v>8</v>
      </c>
    </row>
    <row r="20" spans="1:6" x14ac:dyDescent="0.2">
      <c r="A20" s="2" t="s">
        <v>27</v>
      </c>
      <c r="B20" s="3" t="s">
        <v>28</v>
      </c>
      <c r="C20" s="4"/>
      <c r="D20" s="3"/>
      <c r="E20" s="5"/>
      <c r="F20" s="3"/>
    </row>
    <row r="21" spans="1:6" x14ac:dyDescent="0.2">
      <c r="A21" s="2" t="s">
        <v>29</v>
      </c>
      <c r="B21" s="3" t="s">
        <v>30</v>
      </c>
      <c r="C21" s="4"/>
      <c r="D21" s="3"/>
      <c r="E21" s="5"/>
      <c r="F21" s="3"/>
    </row>
    <row r="22" spans="1:6" x14ac:dyDescent="0.2">
      <c r="A22" s="2" t="s">
        <v>31</v>
      </c>
      <c r="B22" s="3" t="s">
        <v>32</v>
      </c>
      <c r="C22" s="4"/>
      <c r="D22" s="3"/>
      <c r="E22" s="5"/>
      <c r="F22" s="3"/>
    </row>
    <row r="24" spans="1:6" x14ac:dyDescent="0.2">
      <c r="A24" s="52" t="s">
        <v>33</v>
      </c>
      <c r="B24" s="53"/>
      <c r="C24" s="53"/>
      <c r="D24" s="53"/>
      <c r="E24" s="53"/>
      <c r="F24" s="54"/>
    </row>
  </sheetData>
  <mergeCells count="6">
    <mergeCell ref="A24:F24"/>
    <mergeCell ref="A2:F2"/>
    <mergeCell ref="A11:F11"/>
    <mergeCell ref="A1:F1"/>
    <mergeCell ref="A18:F18"/>
    <mergeCell ref="A4:F4"/>
  </mergeCells>
  <dataValidations count="1">
    <dataValidation type="whole" allowBlank="1" promptTitle="Enter score" prompt="Use a whole number from 1 to 10." sqref="C6 C7 C8 C9 C13 C14 C15 C16 C20 C21 C22" xr:uid="{00000000-0002-0000-0000-000000000000}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showGridLines="0" workbookViewId="0">
      <pane ySplit="3" topLeftCell="A4" activePane="bottomLeft" state="frozen"/>
      <selection pane="bottomLeft" activeCell="J21" sqref="J21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4" customWidth="1"/>
    <col min="4" max="4" width="4" customWidth="1"/>
    <col min="5" max="5" width="22" customWidth="1"/>
    <col min="6" max="6" width="26" customWidth="1"/>
    <col min="7" max="7" width="16" customWidth="1"/>
    <col min="8" max="8" width="28" customWidth="1"/>
    <col min="10" max="10" width="22" customWidth="1"/>
    <col min="11" max="11" width="14" customWidth="1"/>
  </cols>
  <sheetData>
    <row r="1" spans="1:11" ht="31" x14ac:dyDescent="0.35">
      <c r="A1" s="24" t="s">
        <v>34</v>
      </c>
      <c r="B1" s="25"/>
      <c r="C1" s="25"/>
      <c r="D1" s="25"/>
      <c r="E1" s="25"/>
      <c r="F1" s="25"/>
      <c r="G1" s="25"/>
      <c r="H1" s="26"/>
    </row>
    <row r="2" spans="1:11" ht="16" x14ac:dyDescent="0.2">
      <c r="A2" s="46" t="s">
        <v>35</v>
      </c>
      <c r="B2" s="47"/>
      <c r="C2" s="47"/>
      <c r="D2" s="47"/>
      <c r="E2" s="47"/>
      <c r="F2" s="47"/>
      <c r="G2" s="47"/>
      <c r="H2" s="48"/>
      <c r="J2" s="1" t="s">
        <v>36</v>
      </c>
      <c r="K2" s="1" t="s">
        <v>37</v>
      </c>
    </row>
    <row r="3" spans="1:11" ht="16" x14ac:dyDescent="0.2">
      <c r="A3" s="12"/>
      <c r="B3" s="12"/>
      <c r="C3" s="12"/>
      <c r="D3" s="12"/>
      <c r="E3" s="12"/>
      <c r="F3" s="12"/>
      <c r="G3" s="12"/>
      <c r="H3" s="12"/>
      <c r="J3" s="3" t="s">
        <v>38</v>
      </c>
      <c r="K3" s="4" t="e">
        <f>A7</f>
        <v>#DIV/0!</v>
      </c>
    </row>
    <row r="4" spans="1:11" ht="21" x14ac:dyDescent="0.25">
      <c r="A4" s="31" t="s">
        <v>39</v>
      </c>
      <c r="B4" s="32"/>
      <c r="C4" s="32"/>
      <c r="D4" s="32"/>
      <c r="E4" s="32"/>
      <c r="F4" s="32"/>
      <c r="G4" s="32"/>
      <c r="H4" s="33"/>
      <c r="J4" s="3" t="s">
        <v>40</v>
      </c>
      <c r="K4" s="4" t="e">
        <f>C7</f>
        <v>#DIV/0!</v>
      </c>
    </row>
    <row r="5" spans="1:11" ht="16" x14ac:dyDescent="0.2">
      <c r="A5" s="12"/>
      <c r="B5" s="12"/>
      <c r="C5" s="12"/>
      <c r="D5" s="12"/>
      <c r="E5" s="12"/>
      <c r="F5" s="12"/>
      <c r="G5" s="12"/>
      <c r="H5" s="12"/>
      <c r="J5" s="3" t="s">
        <v>41</v>
      </c>
      <c r="K5" s="8" t="str">
        <f>IFERROR(G7/10,"")</f>
        <v/>
      </c>
    </row>
    <row r="6" spans="1:11" ht="34" x14ac:dyDescent="0.2">
      <c r="A6" s="10" t="s">
        <v>38</v>
      </c>
      <c r="B6" s="12"/>
      <c r="C6" s="10" t="s">
        <v>40</v>
      </c>
      <c r="D6" s="12"/>
      <c r="E6" s="10" t="s">
        <v>42</v>
      </c>
      <c r="F6" s="12"/>
      <c r="G6" s="10" t="s">
        <v>43</v>
      </c>
      <c r="H6" s="12"/>
      <c r="J6" s="3" t="s">
        <v>44</v>
      </c>
      <c r="K6" s="9" t="str">
        <f>IFERROR(A10*10,"")</f>
        <v/>
      </c>
    </row>
    <row r="7" spans="1:11" ht="16" x14ac:dyDescent="0.2">
      <c r="A7" s="11" t="e">
        <f>AVERAGE(Assessment!C6:C9)</f>
        <v>#DIV/0!</v>
      </c>
      <c r="B7" s="12"/>
      <c r="C7" s="11" t="e">
        <f>(AVERAGE(Assessment!C13:C16)*0.6)+(AVERAGE(Assessment!C20:C22)*0.4)</f>
        <v>#DIV/0!</v>
      </c>
      <c r="D7" s="12"/>
      <c r="E7" s="11" t="str">
        <f>IFERROR(A7/C7,"")</f>
        <v/>
      </c>
      <c r="F7" s="12"/>
      <c r="G7" s="11" t="str">
        <f>IFERROR(MAX(0,(E7-1)*100),"")</f>
        <v/>
      </c>
      <c r="H7" s="12"/>
    </row>
    <row r="8" spans="1:11" ht="16" x14ac:dyDescent="0.2">
      <c r="A8" s="12"/>
      <c r="B8" s="12"/>
      <c r="C8" s="12"/>
      <c r="D8" s="12"/>
      <c r="E8" s="12"/>
      <c r="F8" s="12"/>
      <c r="G8" s="12"/>
      <c r="H8" s="12"/>
    </row>
    <row r="9" spans="1:11" ht="34" x14ac:dyDescent="0.2">
      <c r="A9" s="10" t="s">
        <v>45</v>
      </c>
      <c r="B9" s="12"/>
      <c r="C9" s="10" t="s">
        <v>46</v>
      </c>
      <c r="D9" s="12"/>
      <c r="E9" s="10" t="s">
        <v>47</v>
      </c>
      <c r="F9" s="12"/>
      <c r="G9" s="10" t="s">
        <v>48</v>
      </c>
      <c r="H9" s="12"/>
    </row>
    <row r="10" spans="1:11" ht="68" x14ac:dyDescent="0.2">
      <c r="A10" s="13" t="str">
        <f>IFERROR(C7/A7,"")</f>
        <v/>
      </c>
      <c r="B10" s="12"/>
      <c r="C10" s="11" t="e">
        <f>A7-C7</f>
        <v>#DIV/0!</v>
      </c>
      <c r="D10" s="12"/>
      <c r="E10" s="14" t="str">
        <f>IF(E7="","",IF(E7&lt;1,"Stable",IF(E7&lt;=1.15,"Managed Tension",IF(E7&lt;=1.3,"Widening Gap",IF(E7&lt;=1.5,"Instability Forming","System Risk")))))</f>
        <v/>
      </c>
      <c r="F10" s="12"/>
      <c r="G10" s="20" t="str">
        <f>IF(E10="","",IF(E10="Stable","Pressure is below regulation.",IF(E10="Managed Tension","Pressure and regulation are close. Monitor trends.",IF(E10="Widening Gap","Pressure is beginning to outpace regulation.","The gap is material and needs intervention."))))</f>
        <v/>
      </c>
      <c r="H10" s="12"/>
    </row>
    <row r="11" spans="1:11" ht="16" x14ac:dyDescent="0.2">
      <c r="A11" s="12"/>
      <c r="B11" s="12"/>
      <c r="C11" s="12"/>
      <c r="D11" s="12"/>
      <c r="E11" s="12"/>
      <c r="F11" s="12"/>
      <c r="G11" s="12"/>
      <c r="H11" s="12"/>
    </row>
    <row r="13" spans="1:11" ht="21" x14ac:dyDescent="0.25">
      <c r="A13" s="31" t="s">
        <v>49</v>
      </c>
      <c r="B13" s="32"/>
      <c r="C13" s="32"/>
      <c r="D13" s="32"/>
      <c r="E13" s="32"/>
      <c r="F13" s="32"/>
      <c r="G13" s="32"/>
      <c r="H13" s="33"/>
    </row>
    <row r="14" spans="1:11" ht="20" x14ac:dyDescent="0.25">
      <c r="A14" s="15" t="s">
        <v>50</v>
      </c>
      <c r="B14" s="15" t="s">
        <v>3</v>
      </c>
      <c r="C14" s="15" t="s">
        <v>51</v>
      </c>
      <c r="D14" s="17"/>
      <c r="E14" s="15" t="s">
        <v>50</v>
      </c>
      <c r="F14" s="15" t="s">
        <v>3</v>
      </c>
      <c r="G14" s="15" t="s">
        <v>51</v>
      </c>
      <c r="H14" s="17"/>
    </row>
    <row r="15" spans="1:11" ht="20" x14ac:dyDescent="0.25">
      <c r="A15" s="18" t="s">
        <v>38</v>
      </c>
      <c r="B15" s="18" t="s">
        <v>9</v>
      </c>
      <c r="C15" s="19">
        <f>Assessment!C6</f>
        <v>0</v>
      </c>
      <c r="D15" s="17"/>
      <c r="E15" s="18" t="s">
        <v>52</v>
      </c>
      <c r="F15" s="18" t="s">
        <v>18</v>
      </c>
      <c r="G15" s="19">
        <f>Assessment!C13</f>
        <v>0</v>
      </c>
      <c r="H15" s="17"/>
    </row>
    <row r="16" spans="1:11" ht="20" x14ac:dyDescent="0.25">
      <c r="A16" s="18" t="s">
        <v>38</v>
      </c>
      <c r="B16" s="18" t="s">
        <v>11</v>
      </c>
      <c r="C16" s="19">
        <f>Assessment!C7</f>
        <v>0</v>
      </c>
      <c r="D16" s="17"/>
      <c r="E16" s="18" t="s">
        <v>52</v>
      </c>
      <c r="F16" s="18" t="s">
        <v>20</v>
      </c>
      <c r="G16" s="19">
        <f>Assessment!C14</f>
        <v>0</v>
      </c>
      <c r="H16" s="17"/>
    </row>
    <row r="17" spans="1:8" ht="20" x14ac:dyDescent="0.25">
      <c r="A17" s="18" t="s">
        <v>38</v>
      </c>
      <c r="B17" s="18" t="s">
        <v>13</v>
      </c>
      <c r="C17" s="19">
        <f>Assessment!C8</f>
        <v>0</v>
      </c>
      <c r="D17" s="17"/>
      <c r="E17" s="18" t="s">
        <v>52</v>
      </c>
      <c r="F17" s="18" t="s">
        <v>22</v>
      </c>
      <c r="G17" s="19">
        <f>Assessment!C15</f>
        <v>0</v>
      </c>
      <c r="H17" s="17"/>
    </row>
    <row r="18" spans="1:8" ht="20" x14ac:dyDescent="0.25">
      <c r="A18" s="18" t="s">
        <v>38</v>
      </c>
      <c r="B18" s="18" t="s">
        <v>15</v>
      </c>
      <c r="C18" s="19">
        <f>Assessment!C9</f>
        <v>0</v>
      </c>
      <c r="D18" s="17"/>
      <c r="E18" s="18" t="s">
        <v>52</v>
      </c>
      <c r="F18" s="18" t="s">
        <v>24</v>
      </c>
      <c r="G18" s="19">
        <f>Assessment!C16</f>
        <v>0</v>
      </c>
      <c r="H18" s="17"/>
    </row>
    <row r="19" spans="1:8" ht="19" x14ac:dyDescent="0.25">
      <c r="A19" s="17"/>
      <c r="B19" s="17"/>
      <c r="C19" s="17"/>
      <c r="D19" s="17"/>
      <c r="E19" s="17"/>
      <c r="F19" s="17"/>
      <c r="G19" s="17"/>
      <c r="H19" s="17"/>
    </row>
    <row r="20" spans="1:8" ht="40" x14ac:dyDescent="0.25">
      <c r="A20" s="17"/>
      <c r="B20" s="17"/>
      <c r="C20" s="17"/>
      <c r="D20" s="17"/>
      <c r="E20" s="18" t="s">
        <v>53</v>
      </c>
      <c r="F20" s="18" t="s">
        <v>27</v>
      </c>
      <c r="G20" s="19">
        <f>Assessment!C20</f>
        <v>0</v>
      </c>
      <c r="H20" s="17"/>
    </row>
    <row r="21" spans="1:8" ht="20" x14ac:dyDescent="0.25">
      <c r="A21" s="17"/>
      <c r="B21" s="17"/>
      <c r="C21" s="17"/>
      <c r="D21" s="17"/>
      <c r="E21" s="18" t="s">
        <v>53</v>
      </c>
      <c r="F21" s="18" t="s">
        <v>29</v>
      </c>
      <c r="G21" s="19">
        <f>Assessment!C21</f>
        <v>0</v>
      </c>
      <c r="H21" s="17"/>
    </row>
    <row r="22" spans="1:8" ht="20" x14ac:dyDescent="0.25">
      <c r="A22" s="17"/>
      <c r="B22" s="17"/>
      <c r="C22" s="17"/>
      <c r="D22" s="17"/>
      <c r="E22" s="18" t="s">
        <v>53</v>
      </c>
      <c r="F22" s="18" t="s">
        <v>31</v>
      </c>
      <c r="G22" s="19">
        <f>Assessment!C22</f>
        <v>0</v>
      </c>
      <c r="H22" s="17"/>
    </row>
    <row r="25" spans="1:8" ht="21" x14ac:dyDescent="0.25">
      <c r="A25" s="43" t="s">
        <v>54</v>
      </c>
      <c r="B25" s="44"/>
      <c r="C25" s="44"/>
      <c r="D25" s="44"/>
      <c r="E25" s="44"/>
      <c r="F25" s="44"/>
      <c r="G25" s="44"/>
      <c r="H25" s="45"/>
    </row>
    <row r="26" spans="1:8" ht="45" customHeight="1" x14ac:dyDescent="0.2">
      <c r="A26" s="21" t="s">
        <v>36</v>
      </c>
      <c r="B26" s="21" t="s">
        <v>55</v>
      </c>
      <c r="C26" s="21" t="s">
        <v>56</v>
      </c>
      <c r="D26" s="27" t="s">
        <v>57</v>
      </c>
      <c r="E26" s="28"/>
    </row>
    <row r="27" spans="1:8" ht="59" customHeight="1" x14ac:dyDescent="0.2">
      <c r="A27" s="22" t="s">
        <v>42</v>
      </c>
      <c r="B27" s="23" t="s">
        <v>58</v>
      </c>
      <c r="C27" s="23" t="s">
        <v>59</v>
      </c>
      <c r="D27" s="29" t="s">
        <v>60</v>
      </c>
      <c r="E27" s="30"/>
    </row>
    <row r="28" spans="1:8" ht="59" customHeight="1" x14ac:dyDescent="0.2">
      <c r="A28" s="22" t="s">
        <v>42</v>
      </c>
      <c r="B28" s="23" t="s">
        <v>61</v>
      </c>
      <c r="C28" s="23" t="s">
        <v>62</v>
      </c>
      <c r="D28" s="29" t="s">
        <v>63</v>
      </c>
      <c r="E28" s="30"/>
    </row>
    <row r="29" spans="1:8" ht="59" customHeight="1" x14ac:dyDescent="0.2">
      <c r="A29" s="22" t="s">
        <v>42</v>
      </c>
      <c r="B29" s="23" t="s">
        <v>64</v>
      </c>
      <c r="C29" s="23" t="s">
        <v>65</v>
      </c>
      <c r="D29" s="29" t="s">
        <v>66</v>
      </c>
      <c r="E29" s="30"/>
    </row>
    <row r="30" spans="1:8" ht="59" customHeight="1" x14ac:dyDescent="0.2">
      <c r="A30" s="22" t="s">
        <v>42</v>
      </c>
      <c r="B30" s="23" t="s">
        <v>67</v>
      </c>
      <c r="C30" s="23" t="s">
        <v>68</v>
      </c>
      <c r="D30" s="29" t="s">
        <v>69</v>
      </c>
      <c r="E30" s="30"/>
    </row>
    <row r="31" spans="1:8" ht="59" customHeight="1" x14ac:dyDescent="0.2">
      <c r="A31" s="22" t="s">
        <v>42</v>
      </c>
      <c r="B31" s="23" t="s">
        <v>70</v>
      </c>
      <c r="C31" s="23" t="s">
        <v>71</v>
      </c>
      <c r="D31" s="29" t="s">
        <v>72</v>
      </c>
      <c r="E31" s="30"/>
    </row>
    <row r="32" spans="1:8" ht="59" customHeight="1" x14ac:dyDescent="0.2">
      <c r="A32" s="22" t="s">
        <v>73</v>
      </c>
      <c r="B32" s="23" t="s">
        <v>74</v>
      </c>
      <c r="C32" s="23" t="s">
        <v>75</v>
      </c>
      <c r="D32" s="29" t="s">
        <v>76</v>
      </c>
      <c r="E32" s="30"/>
    </row>
    <row r="33" spans="1:8" ht="24" customHeight="1" x14ac:dyDescent="0.2">
      <c r="A33" s="49" t="s">
        <v>77</v>
      </c>
      <c r="B33" s="50"/>
      <c r="C33" s="50"/>
      <c r="D33" s="50"/>
      <c r="E33" s="50"/>
      <c r="F33" s="50"/>
      <c r="G33" s="50"/>
      <c r="H33" s="51"/>
    </row>
    <row r="34" spans="1:8" ht="44" customHeight="1" x14ac:dyDescent="0.2">
      <c r="A34" s="34" t="str">
        <f>IF(E10="", "", IF(E10="Stable","Regulation exceeds pressure. System has capacity.",IF(E10="Managed Tension","System is stable but margin is narrowing.",IF(E10="Widening Gap","Pressure is outpacing regulation. Early risk forming.",IF(E10="Instability Forming","System instability present. Immediate action required.","System at risk of failure. Intervention critical.")))))</f>
        <v/>
      </c>
      <c r="B34" s="35"/>
      <c r="C34" s="35"/>
      <c r="D34" s="35"/>
      <c r="E34" s="35"/>
      <c r="F34" s="35"/>
      <c r="G34" s="35"/>
      <c r="H34" s="36"/>
    </row>
    <row r="35" spans="1:8" ht="44" customHeight="1" x14ac:dyDescent="0.2">
      <c r="A35" s="37"/>
      <c r="B35" s="38"/>
      <c r="C35" s="38"/>
      <c r="D35" s="38"/>
      <c r="E35" s="38"/>
      <c r="F35" s="38"/>
      <c r="G35" s="38"/>
      <c r="H35" s="39"/>
    </row>
    <row r="36" spans="1:8" ht="44" customHeight="1" x14ac:dyDescent="0.2">
      <c r="A36" s="40"/>
      <c r="B36" s="41"/>
      <c r="C36" s="41"/>
      <c r="D36" s="41"/>
      <c r="E36" s="41"/>
      <c r="F36" s="41"/>
      <c r="G36" s="41"/>
      <c r="H36" s="42"/>
    </row>
    <row r="37" spans="1:8" ht="40" customHeight="1" x14ac:dyDescent="0.2">
      <c r="A37" s="34" t="str">
        <f>IF(E10="", "","Focus intervention on weakest system element identified in scoring.")</f>
        <v/>
      </c>
      <c r="B37" s="35"/>
      <c r="C37" s="35"/>
      <c r="D37" s="35"/>
      <c r="E37" s="35"/>
      <c r="F37" s="35"/>
      <c r="G37" s="35"/>
      <c r="H37" s="36"/>
    </row>
    <row r="38" spans="1:8" ht="40" customHeight="1" x14ac:dyDescent="0.2">
      <c r="A38" s="37"/>
      <c r="B38" s="38"/>
      <c r="C38" s="38"/>
      <c r="D38" s="38"/>
      <c r="E38" s="38"/>
      <c r="F38" s="38"/>
      <c r="G38" s="38"/>
      <c r="H38" s="39"/>
    </row>
    <row r="39" spans="1:8" ht="40" customHeight="1" x14ac:dyDescent="0.2">
      <c r="A39" s="40"/>
      <c r="B39" s="41"/>
      <c r="C39" s="41"/>
      <c r="D39" s="41"/>
      <c r="E39" s="41"/>
      <c r="F39" s="41"/>
      <c r="G39" s="41"/>
      <c r="H39" s="42"/>
    </row>
  </sheetData>
  <mergeCells count="15">
    <mergeCell ref="A34:H36"/>
    <mergeCell ref="A25:H25"/>
    <mergeCell ref="A2:H2"/>
    <mergeCell ref="A37:H39"/>
    <mergeCell ref="A13:H13"/>
    <mergeCell ref="A33:H33"/>
    <mergeCell ref="D30:E30"/>
    <mergeCell ref="D31:E31"/>
    <mergeCell ref="D32:E32"/>
    <mergeCell ref="A1:H1"/>
    <mergeCell ref="D26:E26"/>
    <mergeCell ref="D27:E27"/>
    <mergeCell ref="D28:E28"/>
    <mergeCell ref="D29:E29"/>
    <mergeCell ref="A4:H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pane ySplit="2" topLeftCell="A3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24" customWidth="1"/>
    <col min="2" max="6" width="18" customWidth="1"/>
  </cols>
  <sheetData>
    <row r="1" spans="1:6" ht="31" x14ac:dyDescent="0.35">
      <c r="A1" s="24" t="s">
        <v>78</v>
      </c>
      <c r="B1" s="25"/>
      <c r="C1" s="25"/>
      <c r="D1" s="25"/>
      <c r="E1" s="25"/>
      <c r="F1" s="26"/>
    </row>
    <row r="3" spans="1:6" ht="22" x14ac:dyDescent="0.25">
      <c r="A3" s="6" t="s">
        <v>79</v>
      </c>
      <c r="B3" s="57" t="s">
        <v>80</v>
      </c>
      <c r="C3" s="44"/>
      <c r="D3" s="44"/>
      <c r="E3" s="44"/>
      <c r="F3" s="45"/>
    </row>
    <row r="4" spans="1:6" ht="44" x14ac:dyDescent="0.25">
      <c r="A4" s="7" t="s">
        <v>81</v>
      </c>
      <c r="B4" s="58" t="s">
        <v>82</v>
      </c>
      <c r="C4" s="44"/>
      <c r="D4" s="44"/>
      <c r="E4" s="44"/>
      <c r="F4" s="45"/>
    </row>
    <row r="5" spans="1:6" ht="22" x14ac:dyDescent="0.25">
      <c r="A5" s="7" t="s">
        <v>83</v>
      </c>
      <c r="B5" s="58" t="s">
        <v>84</v>
      </c>
      <c r="C5" s="44"/>
      <c r="D5" s="44"/>
      <c r="E5" s="44"/>
      <c r="F5" s="45"/>
    </row>
    <row r="6" spans="1:6" ht="22" x14ac:dyDescent="0.25">
      <c r="A6" s="7" t="s">
        <v>85</v>
      </c>
      <c r="B6" s="58" t="s">
        <v>86</v>
      </c>
      <c r="C6" s="44"/>
      <c r="D6" s="44"/>
      <c r="E6" s="44"/>
      <c r="F6" s="45"/>
    </row>
    <row r="7" spans="1:6" ht="22" x14ac:dyDescent="0.25">
      <c r="A7" s="7" t="s">
        <v>87</v>
      </c>
      <c r="B7" s="58" t="s">
        <v>88</v>
      </c>
      <c r="C7" s="44"/>
      <c r="D7" s="44"/>
      <c r="E7" s="44"/>
      <c r="F7" s="45"/>
    </row>
    <row r="8" spans="1:6" ht="22" x14ac:dyDescent="0.25">
      <c r="A8" s="7" t="s">
        <v>89</v>
      </c>
      <c r="B8" s="58" t="s">
        <v>90</v>
      </c>
      <c r="C8" s="44"/>
      <c r="D8" s="44"/>
      <c r="E8" s="44"/>
      <c r="F8" s="45"/>
    </row>
    <row r="9" spans="1:6" ht="22" x14ac:dyDescent="0.25">
      <c r="A9" s="7" t="s">
        <v>91</v>
      </c>
      <c r="B9" s="58" t="s">
        <v>92</v>
      </c>
      <c r="C9" s="44"/>
      <c r="D9" s="44"/>
      <c r="E9" s="44"/>
      <c r="F9" s="45"/>
    </row>
    <row r="10" spans="1:6" ht="22" x14ac:dyDescent="0.25">
      <c r="A10" s="7" t="s">
        <v>93</v>
      </c>
      <c r="B10" s="58" t="s">
        <v>94</v>
      </c>
      <c r="C10" s="44"/>
      <c r="D10" s="44"/>
      <c r="E10" s="44"/>
      <c r="F10" s="45"/>
    </row>
    <row r="11" spans="1:6" ht="22" x14ac:dyDescent="0.25">
      <c r="A11" s="7" t="s">
        <v>95</v>
      </c>
      <c r="B11" s="58" t="s">
        <v>96</v>
      </c>
      <c r="C11" s="44"/>
      <c r="D11" s="44"/>
      <c r="E11" s="44"/>
      <c r="F11" s="45"/>
    </row>
    <row r="12" spans="1:6" ht="22" x14ac:dyDescent="0.25">
      <c r="A12" s="7" t="s">
        <v>97</v>
      </c>
      <c r="B12" s="58" t="s">
        <v>98</v>
      </c>
      <c r="C12" s="44"/>
      <c r="D12" s="44"/>
      <c r="E12" s="44"/>
      <c r="F12" s="45"/>
    </row>
    <row r="13" spans="1:6" ht="22" x14ac:dyDescent="0.25">
      <c r="A13" s="6" t="s">
        <v>99</v>
      </c>
      <c r="B13" s="57" t="s">
        <v>100</v>
      </c>
      <c r="C13" s="44"/>
      <c r="D13" s="44"/>
      <c r="E13" s="44"/>
      <c r="F13" s="45"/>
    </row>
  </sheetData>
  <mergeCells count="12">
    <mergeCell ref="B13:F13"/>
    <mergeCell ref="A1:F1"/>
    <mergeCell ref="B11:F11"/>
    <mergeCell ref="B3:F3"/>
    <mergeCell ref="B5:F5"/>
    <mergeCell ref="B8:F8"/>
    <mergeCell ref="B9:F9"/>
    <mergeCell ref="B4:F4"/>
    <mergeCell ref="B12:F12"/>
    <mergeCell ref="B7:F7"/>
    <mergeCell ref="B6:F6"/>
    <mergeCell ref="B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3"/>
  <sheetViews>
    <sheetView showGridLines="0" workbookViewId="0">
      <selection activeCell="I28" sqref="I28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16" customWidth="1"/>
    <col min="5" max="5" width="20" customWidth="1"/>
    <col min="6" max="6" width="16" customWidth="1"/>
  </cols>
  <sheetData>
    <row r="1" spans="1:6" ht="34" customHeight="1" x14ac:dyDescent="0.35">
      <c r="A1" s="24" t="s">
        <v>101</v>
      </c>
      <c r="B1" s="25"/>
      <c r="C1" s="25"/>
      <c r="D1" s="25"/>
      <c r="E1" s="25"/>
      <c r="F1" s="26"/>
    </row>
    <row r="2" spans="1:6" ht="24" customHeight="1" x14ac:dyDescent="0.2">
      <c r="A2" s="46" t="s">
        <v>102</v>
      </c>
      <c r="B2" s="47"/>
      <c r="C2" s="47"/>
      <c r="D2" s="47"/>
      <c r="E2" s="47"/>
      <c r="F2" s="48"/>
    </row>
    <row r="4" spans="1:6" ht="22" customHeight="1" x14ac:dyDescent="0.25">
      <c r="A4" s="80" t="s">
        <v>39</v>
      </c>
      <c r="B4" s="68"/>
      <c r="C4" s="68"/>
      <c r="D4" s="68"/>
      <c r="E4" s="68"/>
      <c r="F4" s="69"/>
    </row>
    <row r="6" spans="1:6" ht="20" customHeight="1" x14ac:dyDescent="0.2">
      <c r="A6" s="66" t="s">
        <v>38</v>
      </c>
      <c r="B6" s="48"/>
      <c r="C6" s="66" t="s">
        <v>40</v>
      </c>
      <c r="D6" s="48"/>
      <c r="E6" s="66" t="s">
        <v>43</v>
      </c>
      <c r="F6" s="48"/>
    </row>
    <row r="7" spans="1:6" ht="24" customHeight="1" x14ac:dyDescent="0.2">
      <c r="A7" s="62" t="e">
        <f>Dashboard!A7</f>
        <v>#DIV/0!</v>
      </c>
      <c r="B7" s="63"/>
      <c r="C7" s="62" t="e">
        <f>Dashboard!C7</f>
        <v>#DIV/0!</v>
      </c>
      <c r="D7" s="63"/>
      <c r="E7" s="62" t="str">
        <f>Dashboard!G7</f>
        <v/>
      </c>
      <c r="F7" s="63"/>
    </row>
    <row r="8" spans="1:6" ht="24" customHeight="1" x14ac:dyDescent="0.2">
      <c r="A8" s="64"/>
      <c r="B8" s="65"/>
      <c r="C8" s="64"/>
      <c r="D8" s="65"/>
      <c r="E8" s="64"/>
      <c r="F8" s="65"/>
    </row>
    <row r="9" spans="1:6" ht="16" x14ac:dyDescent="0.2">
      <c r="A9" s="12"/>
      <c r="B9" s="12"/>
      <c r="C9" s="12"/>
      <c r="D9" s="12"/>
      <c r="E9" s="12"/>
      <c r="F9" s="12"/>
    </row>
    <row r="10" spans="1:6" ht="20" customHeight="1" x14ac:dyDescent="0.2">
      <c r="A10" s="66" t="s">
        <v>103</v>
      </c>
      <c r="B10" s="48"/>
      <c r="C10" s="66" t="s">
        <v>47</v>
      </c>
      <c r="D10" s="48"/>
      <c r="E10" s="66" t="s">
        <v>46</v>
      </c>
      <c r="F10" s="48"/>
    </row>
    <row r="11" spans="1:6" ht="24" customHeight="1" x14ac:dyDescent="0.2">
      <c r="A11" s="81" t="str">
        <f>Dashboard!A10</f>
        <v/>
      </c>
      <c r="B11" s="63"/>
      <c r="C11" s="82" t="str">
        <f>Dashboard!E10</f>
        <v/>
      </c>
      <c r="D11" s="63"/>
      <c r="E11" s="62" t="e">
        <f>Dashboard!C10</f>
        <v>#DIV/0!</v>
      </c>
      <c r="F11" s="63"/>
    </row>
    <row r="12" spans="1:6" ht="24" customHeight="1" x14ac:dyDescent="0.2">
      <c r="A12" s="64"/>
      <c r="B12" s="65"/>
      <c r="C12" s="64"/>
      <c r="D12" s="65"/>
      <c r="E12" s="64"/>
      <c r="F12" s="65"/>
    </row>
    <row r="14" spans="1:6" ht="22" customHeight="1" x14ac:dyDescent="0.2">
      <c r="A14" s="56" t="s">
        <v>104</v>
      </c>
      <c r="B14" s="50"/>
      <c r="C14" s="50"/>
      <c r="D14" s="50"/>
      <c r="E14" s="50"/>
      <c r="F14" s="51"/>
    </row>
    <row r="15" spans="1:6" ht="28" customHeight="1" x14ac:dyDescent="0.2">
      <c r="A15" s="70" t="str">
        <f>Dashboard!A34</f>
        <v/>
      </c>
      <c r="B15" s="71"/>
      <c r="C15" s="71"/>
      <c r="D15" s="71"/>
      <c r="E15" s="71"/>
      <c r="F15" s="72"/>
    </row>
    <row r="16" spans="1:6" ht="28" customHeight="1" x14ac:dyDescent="0.2">
      <c r="A16" s="73"/>
      <c r="B16" s="74"/>
      <c r="C16" s="74"/>
      <c r="D16" s="74"/>
      <c r="E16" s="74"/>
      <c r="F16" s="75"/>
    </row>
    <row r="17" spans="1:6" ht="28" customHeight="1" x14ac:dyDescent="0.2">
      <c r="A17" s="73"/>
      <c r="B17" s="74"/>
      <c r="C17" s="74"/>
      <c r="D17" s="74"/>
      <c r="E17" s="74"/>
      <c r="F17" s="75"/>
    </row>
    <row r="18" spans="1:6" ht="28" customHeight="1" x14ac:dyDescent="0.2">
      <c r="A18" s="76"/>
      <c r="B18" s="77"/>
      <c r="C18" s="77"/>
      <c r="D18" s="77"/>
      <c r="E18" s="77"/>
      <c r="F18" s="78"/>
    </row>
    <row r="19" spans="1:6" ht="28" customHeight="1" x14ac:dyDescent="0.2">
      <c r="A19" s="70" t="str">
        <f>Dashboard!A37</f>
        <v/>
      </c>
      <c r="B19" s="71"/>
      <c r="C19" s="71"/>
      <c r="D19" s="71"/>
      <c r="E19" s="71"/>
      <c r="F19" s="72"/>
    </row>
    <row r="20" spans="1:6" ht="28" customHeight="1" x14ac:dyDescent="0.2">
      <c r="A20" s="73"/>
      <c r="B20" s="74"/>
      <c r="C20" s="74"/>
      <c r="D20" s="74"/>
      <c r="E20" s="74"/>
      <c r="F20" s="75"/>
    </row>
    <row r="21" spans="1:6" ht="28" customHeight="1" x14ac:dyDescent="0.2">
      <c r="A21" s="73"/>
      <c r="B21" s="74"/>
      <c r="C21" s="74"/>
      <c r="D21" s="74"/>
      <c r="E21" s="74"/>
      <c r="F21" s="75"/>
    </row>
    <row r="22" spans="1:6" ht="28" customHeight="1" x14ac:dyDescent="0.2">
      <c r="A22" s="76"/>
      <c r="B22" s="77"/>
      <c r="C22" s="77"/>
      <c r="D22" s="77"/>
      <c r="E22" s="77"/>
      <c r="F22" s="78"/>
    </row>
    <row r="24" spans="1:6" ht="22" customHeight="1" x14ac:dyDescent="0.25">
      <c r="A24" s="80" t="s">
        <v>105</v>
      </c>
      <c r="B24" s="68"/>
      <c r="C24" s="68"/>
      <c r="D24" s="68"/>
      <c r="E24" s="68"/>
      <c r="F24" s="69"/>
    </row>
    <row r="25" spans="1:6" ht="20" customHeight="1" x14ac:dyDescent="0.25">
      <c r="A25" s="15" t="s">
        <v>106</v>
      </c>
      <c r="B25" s="79" t="s">
        <v>107</v>
      </c>
      <c r="C25" s="68"/>
      <c r="D25" s="68"/>
      <c r="E25" s="68"/>
      <c r="F25" s="69"/>
    </row>
    <row r="26" spans="1:6" ht="30" customHeight="1" x14ac:dyDescent="0.2">
      <c r="A26" s="16" t="s">
        <v>108</v>
      </c>
      <c r="B26" s="59" t="s">
        <v>109</v>
      </c>
      <c r="C26" s="60"/>
      <c r="D26" s="60"/>
      <c r="E26" s="60"/>
      <c r="F26" s="61"/>
    </row>
    <row r="27" spans="1:6" ht="30" customHeight="1" x14ac:dyDescent="0.2">
      <c r="A27" s="16" t="s">
        <v>20</v>
      </c>
      <c r="B27" s="59" t="s">
        <v>110</v>
      </c>
      <c r="C27" s="60"/>
      <c r="D27" s="60"/>
      <c r="E27" s="60"/>
      <c r="F27" s="61"/>
    </row>
    <row r="28" spans="1:6" ht="30" customHeight="1" x14ac:dyDescent="0.2">
      <c r="A28" s="16" t="s">
        <v>111</v>
      </c>
      <c r="B28" s="59" t="s">
        <v>112</v>
      </c>
      <c r="C28" s="60"/>
      <c r="D28" s="60"/>
      <c r="E28" s="60"/>
      <c r="F28" s="61"/>
    </row>
    <row r="29" spans="1:6" ht="30" customHeight="1" x14ac:dyDescent="0.2">
      <c r="A29" s="16" t="s">
        <v>24</v>
      </c>
      <c r="B29" s="59" t="s">
        <v>113</v>
      </c>
      <c r="C29" s="60"/>
      <c r="D29" s="60"/>
      <c r="E29" s="60"/>
      <c r="F29" s="61"/>
    </row>
    <row r="30" spans="1:6" ht="30" customHeight="1" x14ac:dyDescent="0.2">
      <c r="A30" s="16" t="s">
        <v>114</v>
      </c>
      <c r="B30" s="59" t="s">
        <v>115</v>
      </c>
      <c r="C30" s="60"/>
      <c r="D30" s="60"/>
      <c r="E30" s="60"/>
      <c r="F30" s="61"/>
    </row>
    <row r="31" spans="1:6" ht="19" x14ac:dyDescent="0.25">
      <c r="A31" s="17"/>
      <c r="B31" s="17"/>
      <c r="C31" s="17"/>
      <c r="D31" s="17"/>
      <c r="E31" s="17"/>
      <c r="F31" s="17"/>
    </row>
    <row r="32" spans="1:6" ht="20" customHeight="1" x14ac:dyDescent="0.25">
      <c r="A32" s="79" t="s">
        <v>116</v>
      </c>
      <c r="B32" s="68"/>
      <c r="C32" s="68"/>
      <c r="D32" s="68"/>
      <c r="E32" s="68"/>
      <c r="F32" s="69"/>
    </row>
    <row r="33" spans="1:6" ht="24" customHeight="1" x14ac:dyDescent="0.25">
      <c r="A33" s="67" t="s">
        <v>100</v>
      </c>
      <c r="B33" s="68"/>
      <c r="C33" s="68"/>
      <c r="D33" s="68"/>
      <c r="E33" s="68"/>
      <c r="F33" s="69"/>
    </row>
  </sheetData>
  <mergeCells count="27">
    <mergeCell ref="A33:F33"/>
    <mergeCell ref="A15:F18"/>
    <mergeCell ref="C10:D10"/>
    <mergeCell ref="C7:D8"/>
    <mergeCell ref="E10:F10"/>
    <mergeCell ref="A14:F14"/>
    <mergeCell ref="E7:F8"/>
    <mergeCell ref="A32:F32"/>
    <mergeCell ref="B29:F29"/>
    <mergeCell ref="B28:F28"/>
    <mergeCell ref="A11:B12"/>
    <mergeCell ref="A24:F24"/>
    <mergeCell ref="A19:F22"/>
    <mergeCell ref="B25:F25"/>
    <mergeCell ref="C11:D12"/>
    <mergeCell ref="E11:F12"/>
    <mergeCell ref="B30:F30"/>
    <mergeCell ref="A7:B8"/>
    <mergeCell ref="A1:F1"/>
    <mergeCell ref="A10:B10"/>
    <mergeCell ref="B26:F26"/>
    <mergeCell ref="B27:F27"/>
    <mergeCell ref="A2:F2"/>
    <mergeCell ref="A4:F4"/>
    <mergeCell ref="E6:F6"/>
    <mergeCell ref="C6:D6"/>
    <mergeCell ref="A6:B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Assessment</vt:lpstr>
      <vt:lpstr>Dashboard</vt:lpstr>
      <vt:lpstr>SOP &amp; Logic</vt:lpstr>
      <vt:lpstr>Client Summary</vt:lpstr>
      <vt:lpstr>'Client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Applegate</cp:lastModifiedBy>
  <dcterms:created xsi:type="dcterms:W3CDTF">2026-04-22T14:01:05Z</dcterms:created>
  <dcterms:modified xsi:type="dcterms:W3CDTF">2026-04-22T16:03:41Z</dcterms:modified>
</cp:coreProperties>
</file>