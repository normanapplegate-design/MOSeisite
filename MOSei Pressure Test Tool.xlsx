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ormanapplegate/Desktop/"/>
    </mc:Choice>
  </mc:AlternateContent>
  <xr:revisionPtr revIDLastSave="0" documentId="13_ncr:1_{C5501E39-AC19-C948-93F6-41875F4E2089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MOS Pressure Test" sheetId="1" r:id="rId1"/>
    <sheet name="Dashboard" sheetId="2" r:id="rId2"/>
    <sheet name="Scenario Tests" sheetId="3" r:id="rId3"/>
    <sheet name="Defini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7" i="3"/>
  <c r="D7" i="3"/>
  <c r="F7" i="3" s="1"/>
  <c r="G7" i="3" s="1"/>
  <c r="H7" i="3" s="1"/>
  <c r="E6" i="3"/>
  <c r="E5" i="3"/>
  <c r="B5" i="2"/>
  <c r="B23" i="1"/>
  <c r="B7" i="2" s="1"/>
  <c r="A13" i="2" s="1"/>
  <c r="B22" i="1"/>
  <c r="B6" i="2" s="1"/>
  <c r="B21" i="1"/>
  <c r="E9" i="3" s="1"/>
  <c r="B20" i="1"/>
  <c r="D6" i="3" s="1"/>
  <c r="F6" i="3" s="1"/>
  <c r="G6" i="3" s="1"/>
  <c r="H6" i="3" s="1"/>
  <c r="G16" i="1"/>
  <c r="F16" i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G9" i="1"/>
  <c r="F9" i="1"/>
  <c r="E9" i="1"/>
  <c r="G8" i="1"/>
  <c r="F8" i="1"/>
  <c r="E8" i="1"/>
  <c r="F7" i="1"/>
  <c r="G7" i="1" s="1"/>
  <c r="E7" i="1"/>
  <c r="D7" i="2" s="1"/>
  <c r="F6" i="1"/>
  <c r="G6" i="1" s="1"/>
  <c r="E6" i="1"/>
  <c r="D9" i="2" s="1"/>
  <c r="F5" i="1"/>
  <c r="G5" i="1" s="1"/>
  <c r="E5" i="1"/>
  <c r="D8" i="2" s="1"/>
  <c r="E8" i="2" l="1"/>
  <c r="H8" i="2"/>
  <c r="G8" i="2"/>
  <c r="F8" i="2"/>
  <c r="G9" i="2"/>
  <c r="F9" i="2"/>
  <c r="E9" i="2"/>
  <c r="H9" i="2"/>
  <c r="H7" i="2"/>
  <c r="F7" i="2"/>
  <c r="E7" i="2"/>
  <c r="G7" i="2"/>
  <c r="D8" i="3"/>
  <c r="D6" i="2"/>
  <c r="D5" i="3"/>
  <c r="F5" i="3" s="1"/>
  <c r="G5" i="3" s="1"/>
  <c r="H5" i="3" s="1"/>
  <c r="E8" i="3"/>
  <c r="D10" i="3"/>
  <c r="F10" i="3" s="1"/>
  <c r="G10" i="3" s="1"/>
  <c r="H10" i="3" s="1"/>
  <c r="B24" i="1"/>
  <c r="B8" i="2" s="1"/>
  <c r="D9" i="3"/>
  <c r="F9" i="3" s="1"/>
  <c r="G9" i="3" s="1"/>
  <c r="H9" i="3" s="1"/>
  <c r="B25" i="1"/>
  <c r="B9" i="2" s="1"/>
  <c r="B4" i="2"/>
  <c r="F8" i="3" l="1"/>
  <c r="G8" i="3" s="1"/>
  <c r="H8" i="3" s="1"/>
  <c r="H6" i="2"/>
  <c r="G6" i="2"/>
  <c r="F6" i="2"/>
  <c r="E6" i="2"/>
</calcChain>
</file>

<file path=xl/sharedStrings.xml><?xml version="1.0" encoding="utf-8"?>
<sst xmlns="http://schemas.openxmlformats.org/spreadsheetml/2006/main" count="174" uniqueCount="161">
  <si>
    <t>MOS PRESSURE TEST — Pressure-to-Regulation Model</t>
  </si>
  <si>
    <t>Score each pressure point from 1–10. Higher External Pressure = more stress. Higher Internal Regulation = stronger MOS capacity.</t>
  </si>
  <si>
    <t>Category</t>
  </si>
  <si>
    <t>Pressure Point</t>
  </si>
  <si>
    <t>External Pressure (1-10)</t>
  </si>
  <si>
    <t>Internal Regulation (1-10)</t>
  </si>
  <si>
    <t>Pressure Gap</t>
  </si>
  <si>
    <t>Instability Ratio</t>
  </si>
  <si>
    <t>Risk Level</t>
  </si>
  <si>
    <t>Evidence / Observations</t>
  </si>
  <si>
    <t>Owner</t>
  </si>
  <si>
    <t>Action Required</t>
  </si>
  <si>
    <t>Decision Flow</t>
  </si>
  <si>
    <t>Decision Latency</t>
  </si>
  <si>
    <t>Time from issue → owner → decision → execution</t>
  </si>
  <si>
    <t>Signal Flow</t>
  </si>
  <si>
    <t>Signal Compression</t>
  </si>
  <si>
    <t>How much frontline truth is preserved upward</t>
  </si>
  <si>
    <t>Escalation</t>
  </si>
  <si>
    <t>Escalation Integrity</t>
  </si>
  <si>
    <t>Speed and accuracy of escalation to correct tier</t>
  </si>
  <si>
    <t>Leadership</t>
  </si>
  <si>
    <t>Leadership Regulation</t>
  </si>
  <si>
    <t>Consistency of leadership behavior under stress</t>
  </si>
  <si>
    <t>Recovery</t>
  </si>
  <si>
    <t>Operational Recovery</t>
  </si>
  <si>
    <t>Speed to return to baseline after disruption</t>
  </si>
  <si>
    <t>Ownership</t>
  </si>
  <si>
    <t>Ownership Clarity</t>
  </si>
  <si>
    <t>Single accountable owner assigned for critical issues</t>
  </si>
  <si>
    <t>Meetings</t>
  </si>
  <si>
    <t>Cadence Stability</t>
  </si>
  <si>
    <t>Meetings produce decisions, not just status updates</t>
  </si>
  <si>
    <t>KPI System</t>
  </si>
  <si>
    <t>KPI Truth / Distortion</t>
  </si>
  <si>
    <t>KPIs reveal reality rather than mask it</t>
  </si>
  <si>
    <t>Capacity</t>
  </si>
  <si>
    <t>Resource / Staffing Flexibility</t>
  </si>
  <si>
    <t>Ability to absorb workload, absence, demand spikes</t>
  </si>
  <si>
    <t>Supply Chain</t>
  </si>
  <si>
    <t>Supplier / Input Volatility</t>
  </si>
  <si>
    <t>Exposure to supplier, material, logistics shocks</t>
  </si>
  <si>
    <t>Communication</t>
  </si>
  <si>
    <t>Cross-Functional Coordination</t>
  </si>
  <si>
    <t>Speed of alignment across functions</t>
  </si>
  <si>
    <t>Governance</t>
  </si>
  <si>
    <t>Executive Decision Window</t>
  </si>
  <si>
    <t>Ability to decide before the window closes</t>
  </si>
  <si>
    <t>MOS SUMMARY SCORE</t>
  </si>
  <si>
    <t>Average External Pressure</t>
  </si>
  <si>
    <t>Risk Band</t>
  </si>
  <si>
    <t>Ratio</t>
  </si>
  <si>
    <t>Meaning</t>
  </si>
  <si>
    <t>Average Internal Regulation</t>
  </si>
  <si>
    <t>Stable</t>
  </si>
  <si>
    <t>&lt; 0.90</t>
  </si>
  <si>
    <t>Regulation exceeds pressure; MOS absorbing stress</t>
  </si>
  <si>
    <t>Average Pressure Gap</t>
  </si>
  <si>
    <t>Watch</t>
  </si>
  <si>
    <t>0.90–1.19</t>
  </si>
  <si>
    <t>Pressure approaching system capacity</t>
  </si>
  <si>
    <t>Pressure-to-Regulation Ratio</t>
  </si>
  <si>
    <t>High</t>
  </si>
  <si>
    <t>1.20–1.49</t>
  </si>
  <si>
    <t>Instability forming below surface</t>
  </si>
  <si>
    <t>Overall Risk Level</t>
  </si>
  <si>
    <t>Critical</t>
  </si>
  <si>
    <t>&gt;= 1.50</t>
  </si>
  <si>
    <t>MOS likely losing coherence under pressure</t>
  </si>
  <si>
    <t>Norman's Law Signal</t>
  </si>
  <si>
    <t>Core Formula</t>
  </si>
  <si>
    <t>Pressure ÷ Regulation</t>
  </si>
  <si>
    <t>Norman’s Law operationalized</t>
  </si>
  <si>
    <t>MOS PRESSURE DASHBOARD</t>
  </si>
  <si>
    <t>Leadership view: where pressure exceeds regulation, where decision risk is forming, and what to act on next.</t>
  </si>
  <si>
    <t>Average Pressure</t>
  </si>
  <si>
    <t>Top Pressure Points</t>
  </si>
  <si>
    <t>Average Regulation</t>
  </si>
  <si>
    <t>Pressure</t>
  </si>
  <si>
    <t>Regulation</t>
  </si>
  <si>
    <t>Gap</t>
  </si>
  <si>
    <t>Risk</t>
  </si>
  <si>
    <t>Average Gap</t>
  </si>
  <si>
    <t>Overall Risk</t>
  </si>
  <si>
    <t>Norman’s Law Signal</t>
  </si>
  <si>
    <t>Recommended Interpretation</t>
  </si>
  <si>
    <t>MOS SCENARIO / STRESS TESTS</t>
  </si>
  <si>
    <t>Use this sheet to model what happens when operational pressure increases or internal regulation weakens.</t>
  </si>
  <si>
    <t>Scenario</t>
  </si>
  <si>
    <t>Pressure Shock %</t>
  </si>
  <si>
    <t>Regulation Shock %</t>
  </si>
  <si>
    <t>Adjusted Pressure</t>
  </si>
  <si>
    <t>Adjusted Regulation</t>
  </si>
  <si>
    <t>Adjusted Ratio</t>
  </si>
  <si>
    <t>Leadership Response</t>
  </si>
  <si>
    <t>Demand spike +30%</t>
  </si>
  <si>
    <t>Supplier failure +25%</t>
  </si>
  <si>
    <t>Executive delay +20%</t>
  </si>
  <si>
    <t>Staffing shortage +15%</t>
  </si>
  <si>
    <t>System outage +40%</t>
  </si>
  <si>
    <t>Custom scenario</t>
  </si>
  <si>
    <t>MOS PRESSURE MODEL DEFINITIONS</t>
  </si>
  <si>
    <t>Metric</t>
  </si>
  <si>
    <t>What It Measures</t>
  </si>
  <si>
    <t>How To Test</t>
  </si>
  <si>
    <t>Example Evidence</t>
  </si>
  <si>
    <t>Time from signal to decision to execution</t>
  </si>
  <si>
    <t>Track issue timestamp, owner assignment, decision time, execution start</t>
  </si>
  <si>
    <t>Issue logs, tier meeting records, action trackers</t>
  </si>
  <si>
    <t>Loss or distortion of reality as issues move upward</t>
  </si>
  <si>
    <t>Compare frontline description vs executive understanding</t>
  </si>
  <si>
    <t>Tier 1 notes vs Tier 3 summary</t>
  </si>
  <si>
    <t>Whether issues move to the correct level fast enough</t>
  </si>
  <si>
    <t>Measure unresolved issue age and escalation delay</t>
  </si>
  <si>
    <t>Aging escalations, late customer-impact issues</t>
  </si>
  <si>
    <t>Stability of leadership response under pressure</t>
  </si>
  <si>
    <t>Track priority changes, reversals, emergency meetings</t>
  </si>
  <si>
    <t>Decision reversals, KPI churn, meeting volatility</t>
  </si>
  <si>
    <t>Speed at which system returns to baseline</t>
  </si>
  <si>
    <t>Measure backlog, stability, and KPI recovery after disruption</t>
  </si>
  <si>
    <t>Backlog recovery, OTIF normalization</t>
  </si>
  <si>
    <t>Whether one accountable owner exists for critical issues</t>
  </si>
  <si>
    <t>Audit actions for named accountable owner and due date</t>
  </si>
  <si>
    <t>RACI, action register, red items</t>
  </si>
  <si>
    <t>Whether meetings continue producing decisions under stress</t>
  </si>
  <si>
    <t>Observe tier meetings during pressure event</t>
  </si>
  <si>
    <t>Decisions made, aged actions, unresolved repeats</t>
  </si>
  <si>
    <t>Whether KPIs expose reality or hide it</t>
  </si>
  <si>
    <t>Compare KPI health against actual operational friction</t>
  </si>
  <si>
    <t>Green dashboard with red customer reality</t>
  </si>
  <si>
    <t>Resource Flexibility</t>
  </si>
  <si>
    <t>Capacity to absorb workload, absence, or demand movement</t>
  </si>
  <si>
    <t>Model staffing and capacity under stress</t>
  </si>
  <si>
    <t>Overtime, missed actions, queue growth</t>
  </si>
  <si>
    <t>Supplier Volatility</t>
  </si>
  <si>
    <t>Exposure to external input disruption</t>
  </si>
  <si>
    <t>Stress supplier lead time, quality, and delivery reliability</t>
  </si>
  <si>
    <t>Supplier misses, expedite cost, shortages</t>
  </si>
  <si>
    <t>How fast functions align around issue resolution</t>
  </si>
  <si>
    <t>Measure handoff time and rework between functions</t>
  </si>
  <si>
    <t>Email chains, meeting delays, conflicting priorities</t>
  </si>
  <si>
    <t>Ability to decide before timing advantage is lost</t>
  </si>
  <si>
    <t>Compare decision timing to market/customer deadline</t>
  </si>
  <si>
    <t>Missed windows, delayed approvals</t>
  </si>
  <si>
    <t>Suggested Scoring Scale</t>
  </si>
  <si>
    <t>1–3</t>
  </si>
  <si>
    <t>Low pressure or strong control</t>
  </si>
  <si>
    <t>Stable / routine condition</t>
  </si>
  <si>
    <t>No meaningful risk</t>
  </si>
  <si>
    <t>4–6</t>
  </si>
  <si>
    <t>Moderate pressure or partial control</t>
  </si>
  <si>
    <t>Requires active management</t>
  </si>
  <si>
    <t>Watch zone</t>
  </si>
  <si>
    <t>7–8</t>
  </si>
  <si>
    <t>High pressure or weak control</t>
  </si>
  <si>
    <t>Instability likely forming</t>
  </si>
  <si>
    <t>Leadership attention required</t>
  </si>
  <si>
    <t>9–10</t>
  </si>
  <si>
    <t>Extreme pressure or failing control</t>
  </si>
  <si>
    <t>System integrity at risk</t>
  </si>
  <si>
    <t>Immediate 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</si>
</sst>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2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456E"/>
      </patternFill>
    </fill>
    <fill>
      <patternFill patternType="solid">
        <fgColor rgb="FFD9A44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0" xfId="0" applyFill="1" applyAlignment="1">
      <alignment vertical="top" wrapText="1"/>
    </xf>
    <xf numFmtId="2" fontId="0" fillId="4" borderId="0" xfId="0" applyNumberFormat="1" applyFill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2" fontId="0" fillId="3" borderId="0" xfId="0" applyNumberFormat="1" applyFill="1" applyAlignment="1">
      <alignment vertical="top" wrapText="1"/>
    </xf>
    <xf numFmtId="0" fontId="1" fillId="2" borderId="0" xfId="0" applyFont="1" applyFill="1"/>
    <xf numFmtId="0" fontId="3" fillId="3" borderId="0" xfId="0" applyFont="1" applyFill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/>
    <xf numFmtId="2" fontId="0" fillId="4" borderId="2" xfId="0" applyNumberFormat="1" applyFill="1" applyBorder="1" applyAlignment="1">
      <alignment vertical="top" wrapText="1"/>
    </xf>
    <xf numFmtId="2" fontId="0" fillId="4" borderId="3" xfId="0" applyNumberFormat="1" applyFill="1" applyBorder="1" applyAlignment="1">
      <alignment vertical="top" wrapText="1"/>
    </xf>
    <xf numFmtId="2" fontId="0" fillId="4" borderId="4" xfId="0" applyNumberFormat="1" applyFill="1" applyBorder="1" applyAlignment="1">
      <alignment vertical="top" wrapText="1"/>
    </xf>
    <xf numFmtId="2" fontId="0" fillId="4" borderId="5" xfId="0" applyNumberFormat="1" applyFill="1" applyBorder="1" applyAlignment="1">
      <alignment vertical="top" wrapText="1"/>
    </xf>
    <xf numFmtId="2" fontId="0" fillId="4" borderId="6" xfId="0" applyNumberFormat="1" applyFill="1" applyBorder="1" applyAlignment="1">
      <alignment vertical="top" wrapText="1"/>
    </xf>
    <xf numFmtId="2" fontId="0" fillId="4" borderId="7" xfId="0" applyNumberFormat="1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2" fontId="0" fillId="0" borderId="11" xfId="0" applyNumberFormat="1" applyBorder="1" applyAlignment="1">
      <alignment vertical="top" wrapText="1"/>
    </xf>
    <xf numFmtId="2" fontId="0" fillId="0" borderId="4" xfId="0" applyNumberFormat="1" applyBorder="1" applyAlignment="1">
      <alignment vertical="top" wrapText="1"/>
    </xf>
    <xf numFmtId="2" fontId="0" fillId="0" borderId="6" xfId="0" applyNumberFormat="1" applyBorder="1" applyAlignment="1">
      <alignment vertical="top" wrapText="1"/>
    </xf>
    <xf numFmtId="2" fontId="0" fillId="0" borderId="12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A8003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External Pressure (1-10)</c:v>
          </c:tx>
          <c:invertIfNegative val="1"/>
          <c:cat>
            <c:strRef>
              <c:f>'MOS Pressure Test'!$B$5:$B$16</c:f>
              <c:strCache>
                <c:ptCount val="12"/>
                <c:pt idx="0">
                  <c:v>Decision Latency</c:v>
                </c:pt>
                <c:pt idx="1">
                  <c:v>Signal Compression</c:v>
                </c:pt>
                <c:pt idx="2">
                  <c:v>Escalation Integrity</c:v>
                </c:pt>
                <c:pt idx="3">
                  <c:v>Leadership Regulation</c:v>
                </c:pt>
                <c:pt idx="4">
                  <c:v>Operational Recovery</c:v>
                </c:pt>
                <c:pt idx="5">
                  <c:v>Ownership Clarity</c:v>
                </c:pt>
                <c:pt idx="6">
                  <c:v>Cadence Stability</c:v>
                </c:pt>
                <c:pt idx="7">
                  <c:v>KPI Truth / Distortion</c:v>
                </c:pt>
                <c:pt idx="8">
                  <c:v>Resource / Staffing Flexibility</c:v>
                </c:pt>
                <c:pt idx="9">
                  <c:v>Supplier / Input Volatility</c:v>
                </c:pt>
                <c:pt idx="10">
                  <c:v>Cross-Functional Coordination</c:v>
                </c:pt>
                <c:pt idx="11">
                  <c:v>Executive Decision Window</c:v>
                </c:pt>
              </c:strCache>
            </c:strRef>
          </c:cat>
          <c:val>
            <c:numRef>
              <c:f>'MOS Pressure Test'!$C$5:$C$16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18E-424D-82B5-1B4A0BA4CAE7}"/>
            </c:ext>
          </c:extLst>
        </c:ser>
        <c:ser>
          <c:idx val="1"/>
          <c:order val="1"/>
          <c:tx>
            <c:v>Internal Regulation (1-10)</c:v>
          </c:tx>
          <c:invertIfNegative val="1"/>
          <c:cat>
            <c:strRef>
              <c:f>'MOS Pressure Test'!$B$5:$B$16</c:f>
              <c:strCache>
                <c:ptCount val="12"/>
                <c:pt idx="0">
                  <c:v>Decision Latency</c:v>
                </c:pt>
                <c:pt idx="1">
                  <c:v>Signal Compression</c:v>
                </c:pt>
                <c:pt idx="2">
                  <c:v>Escalation Integrity</c:v>
                </c:pt>
                <c:pt idx="3">
                  <c:v>Leadership Regulation</c:v>
                </c:pt>
                <c:pt idx="4">
                  <c:v>Operational Recovery</c:v>
                </c:pt>
                <c:pt idx="5">
                  <c:v>Ownership Clarity</c:v>
                </c:pt>
                <c:pt idx="6">
                  <c:v>Cadence Stability</c:v>
                </c:pt>
                <c:pt idx="7">
                  <c:v>KPI Truth / Distortion</c:v>
                </c:pt>
                <c:pt idx="8">
                  <c:v>Resource / Staffing Flexibility</c:v>
                </c:pt>
                <c:pt idx="9">
                  <c:v>Supplier / Input Volatility</c:v>
                </c:pt>
                <c:pt idx="10">
                  <c:v>Cross-Functional Coordination</c:v>
                </c:pt>
                <c:pt idx="11">
                  <c:v>Executive Decision Window</c:v>
                </c:pt>
              </c:strCache>
            </c:strRef>
          </c:cat>
          <c:val>
            <c:numRef>
              <c:f>'MOS Pressure Test'!$D$5:$D$16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18E-424D-82B5-1B4A0BA4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Pressure Shock %</c:v>
          </c:tx>
          <c:invertIfNegative val="1"/>
          <c:cat>
            <c:strRef>
              <c:f>'Scenario Tests'!$A$5:$A$10</c:f>
              <c:strCache>
                <c:ptCount val="6"/>
                <c:pt idx="0">
                  <c:v>Demand spike +30%</c:v>
                </c:pt>
                <c:pt idx="1">
                  <c:v>Supplier failure +25%</c:v>
                </c:pt>
                <c:pt idx="2">
                  <c:v>Executive delay +20%</c:v>
                </c:pt>
                <c:pt idx="3">
                  <c:v>Staffing shortage +15%</c:v>
                </c:pt>
                <c:pt idx="4">
                  <c:v>System outage +40%</c:v>
                </c:pt>
                <c:pt idx="5">
                  <c:v>Custom scenario</c:v>
                </c:pt>
              </c:strCache>
            </c:strRef>
          </c:cat>
          <c:val>
            <c:numRef>
              <c:f>'Scenario Tests'!$B$5:$B$10</c:f>
              <c:numCache>
                <c:formatCode>0.00</c:formatCode>
                <c:ptCount val="6"/>
                <c:pt idx="0">
                  <c:v>0.3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F-B64E-9C0E-DD08ACE668C9}"/>
            </c:ext>
          </c:extLst>
        </c:ser>
        <c:ser>
          <c:idx val="1"/>
          <c:order val="1"/>
          <c:tx>
            <c:v>Regulation Shock %</c:v>
          </c:tx>
          <c:invertIfNegative val="1"/>
          <c:cat>
            <c:strRef>
              <c:f>'Scenario Tests'!$A$5:$A$10</c:f>
              <c:strCache>
                <c:ptCount val="6"/>
                <c:pt idx="0">
                  <c:v>Demand spike +30%</c:v>
                </c:pt>
                <c:pt idx="1">
                  <c:v>Supplier failure +25%</c:v>
                </c:pt>
                <c:pt idx="2">
                  <c:v>Executive delay +20%</c:v>
                </c:pt>
                <c:pt idx="3">
                  <c:v>Staffing shortage +15%</c:v>
                </c:pt>
                <c:pt idx="4">
                  <c:v>System outage +40%</c:v>
                </c:pt>
                <c:pt idx="5">
                  <c:v>Custom scenario</c:v>
                </c:pt>
              </c:strCache>
            </c:strRef>
          </c:cat>
          <c:val>
            <c:numRef>
              <c:f>'Scenario Tests'!$C$5:$C$10</c:f>
              <c:numCache>
                <c:formatCode>0.00</c:formatCode>
                <c:ptCount val="6"/>
                <c:pt idx="0">
                  <c:v>0</c:v>
                </c:pt>
                <c:pt idx="1">
                  <c:v>-0.1</c:v>
                </c:pt>
                <c:pt idx="2">
                  <c:v>-0.15</c:v>
                </c:pt>
                <c:pt idx="3">
                  <c:v>-0.2</c:v>
                </c:pt>
                <c:pt idx="4">
                  <c:v>-0.25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F-B64E-9C0E-DD08ACE668C9}"/>
            </c:ext>
          </c:extLst>
        </c:ser>
        <c:ser>
          <c:idx val="2"/>
          <c:order val="2"/>
          <c:tx>
            <c:v>Adjusted Pressure</c:v>
          </c:tx>
          <c:invertIfNegative val="1"/>
          <c:cat>
            <c:strRef>
              <c:f>'Scenario Tests'!$A$5:$A$10</c:f>
              <c:strCache>
                <c:ptCount val="6"/>
                <c:pt idx="0">
                  <c:v>Demand spike +30%</c:v>
                </c:pt>
                <c:pt idx="1">
                  <c:v>Supplier failure +25%</c:v>
                </c:pt>
                <c:pt idx="2">
                  <c:v>Executive delay +20%</c:v>
                </c:pt>
                <c:pt idx="3">
                  <c:v>Staffing shortage +15%</c:v>
                </c:pt>
                <c:pt idx="4">
                  <c:v>System outage +40%</c:v>
                </c:pt>
                <c:pt idx="5">
                  <c:v>Custom scenario</c:v>
                </c:pt>
              </c:strCache>
            </c:strRef>
          </c:cat>
          <c:val>
            <c:numRef>
              <c:f>'Scenario Tests'!$D$5:$D$10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F-B64E-9C0E-DD08ACE668C9}"/>
            </c:ext>
          </c:extLst>
        </c:ser>
        <c:ser>
          <c:idx val="3"/>
          <c:order val="3"/>
          <c:tx>
            <c:v>Adjusted Regulation</c:v>
          </c:tx>
          <c:invertIfNegative val="1"/>
          <c:cat>
            <c:strRef>
              <c:f>'Scenario Tests'!$A$5:$A$10</c:f>
              <c:strCache>
                <c:ptCount val="6"/>
                <c:pt idx="0">
                  <c:v>Demand spike +30%</c:v>
                </c:pt>
                <c:pt idx="1">
                  <c:v>Supplier failure +25%</c:v>
                </c:pt>
                <c:pt idx="2">
                  <c:v>Executive delay +20%</c:v>
                </c:pt>
                <c:pt idx="3">
                  <c:v>Staffing shortage +15%</c:v>
                </c:pt>
                <c:pt idx="4">
                  <c:v>System outage +40%</c:v>
                </c:pt>
                <c:pt idx="5">
                  <c:v>Custom scenario</c:v>
                </c:pt>
              </c:strCache>
            </c:strRef>
          </c:cat>
          <c:val>
            <c:numRef>
              <c:f>'Scenario Tests'!$E$5:$E$10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F-B64E-9C0E-DD08ACE668C9}"/>
            </c:ext>
          </c:extLst>
        </c:ser>
        <c:ser>
          <c:idx val="4"/>
          <c:order val="4"/>
          <c:tx>
            <c:v>Adjusted Ratio</c:v>
          </c:tx>
          <c:invertIfNegative val="1"/>
          <c:cat>
            <c:strRef>
              <c:f>'Scenario Tests'!$A$5:$A$10</c:f>
              <c:strCache>
                <c:ptCount val="6"/>
                <c:pt idx="0">
                  <c:v>Demand spike +30%</c:v>
                </c:pt>
                <c:pt idx="1">
                  <c:v>Supplier failure +25%</c:v>
                </c:pt>
                <c:pt idx="2">
                  <c:v>Executive delay +20%</c:v>
                </c:pt>
                <c:pt idx="3">
                  <c:v>Staffing shortage +15%</c:v>
                </c:pt>
                <c:pt idx="4">
                  <c:v>System outage +40%</c:v>
                </c:pt>
                <c:pt idx="5">
                  <c:v>Custom scenario</c:v>
                </c:pt>
              </c:strCache>
            </c:strRef>
          </c:cat>
          <c:val>
            <c:numRef>
              <c:f>'Scenario Tests'!$F$5:$F$10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F-B64E-9C0E-DD08ACE66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H23" sqref="H23"/>
    </sheetView>
  </sheetViews>
  <sheetFormatPr baseColWidth="10" defaultColWidth="8.83203125" defaultRowHeight="15"/>
  <cols>
    <col min="1" max="1" width="18" customWidth="1"/>
    <col min="2" max="2" width="28" customWidth="1"/>
    <col min="3" max="3" width="18" customWidth="1"/>
    <col min="4" max="4" width="20" customWidth="1"/>
    <col min="5" max="5" width="14" customWidth="1"/>
    <col min="6" max="6" width="16" customWidth="1"/>
    <col min="7" max="7" width="14" customWidth="1"/>
    <col min="8" max="8" width="36" customWidth="1"/>
    <col min="9" max="9" width="18" customWidth="1"/>
    <col min="10" max="10" width="32" customWidth="1"/>
  </cols>
  <sheetData>
    <row r="1" spans="1:10" ht="31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32">
      <c r="A5" s="25" t="s">
        <v>12</v>
      </c>
      <c r="B5" s="26" t="s">
        <v>13</v>
      </c>
      <c r="C5" s="16"/>
      <c r="D5" s="17"/>
      <c r="E5" s="31" t="str">
        <f t="shared" ref="E5:E16" si="0">IF(OR(C5="",D5=""),"",C5-D5)</f>
        <v/>
      </c>
      <c r="F5" s="32" t="str">
        <f t="shared" ref="F5:F16" si="1">IF(OR(C5="",D5="",D5=0),"",C5/D5)</f>
        <v/>
      </c>
      <c r="G5" s="26" t="str">
        <f t="shared" ref="G5:G16" si="2">IF(F5="","",IF(F5&gt;=1.5,"Critical",IF(F5&gt;=1.2,"High",IF(F5&gt;=0.9,"Watch","Stable"))))</f>
        <v/>
      </c>
      <c r="H5" s="22" t="s">
        <v>14</v>
      </c>
      <c r="I5" s="22"/>
      <c r="J5" s="22"/>
    </row>
    <row r="6" spans="1:10" ht="32">
      <c r="A6" s="27" t="s">
        <v>15</v>
      </c>
      <c r="B6" s="28" t="s">
        <v>16</v>
      </c>
      <c r="C6" s="18"/>
      <c r="D6" s="19"/>
      <c r="E6" s="33" t="str">
        <f t="shared" si="0"/>
        <v/>
      </c>
      <c r="F6" s="8" t="str">
        <f t="shared" si="1"/>
        <v/>
      </c>
      <c r="G6" s="28" t="str">
        <f t="shared" si="2"/>
        <v/>
      </c>
      <c r="H6" s="23" t="s">
        <v>17</v>
      </c>
      <c r="I6" s="23"/>
      <c r="J6" s="23"/>
    </row>
    <row r="7" spans="1:10" ht="32">
      <c r="A7" s="27" t="s">
        <v>18</v>
      </c>
      <c r="B7" s="28" t="s">
        <v>19</v>
      </c>
      <c r="C7" s="18"/>
      <c r="D7" s="19"/>
      <c r="E7" s="33" t="str">
        <f t="shared" si="0"/>
        <v/>
      </c>
      <c r="F7" s="8" t="str">
        <f t="shared" si="1"/>
        <v/>
      </c>
      <c r="G7" s="28" t="str">
        <f t="shared" si="2"/>
        <v/>
      </c>
      <c r="H7" s="23" t="s">
        <v>20</v>
      </c>
      <c r="I7" s="23"/>
      <c r="J7" s="23"/>
    </row>
    <row r="8" spans="1:10" ht="32">
      <c r="A8" s="27" t="s">
        <v>21</v>
      </c>
      <c r="B8" s="28" t="s">
        <v>22</v>
      </c>
      <c r="C8" s="18"/>
      <c r="D8" s="19"/>
      <c r="E8" s="33" t="str">
        <f t="shared" si="0"/>
        <v/>
      </c>
      <c r="F8" s="8" t="str">
        <f t="shared" si="1"/>
        <v/>
      </c>
      <c r="G8" s="28" t="str">
        <f t="shared" si="2"/>
        <v/>
      </c>
      <c r="H8" s="23" t="s">
        <v>23</v>
      </c>
      <c r="I8" s="23"/>
      <c r="J8" s="23"/>
    </row>
    <row r="9" spans="1:10" ht="16">
      <c r="A9" s="27" t="s">
        <v>24</v>
      </c>
      <c r="B9" s="28" t="s">
        <v>25</v>
      </c>
      <c r="C9" s="18"/>
      <c r="D9" s="19"/>
      <c r="E9" s="33" t="str">
        <f t="shared" si="0"/>
        <v/>
      </c>
      <c r="F9" s="8" t="str">
        <f t="shared" si="1"/>
        <v/>
      </c>
      <c r="G9" s="28" t="str">
        <f t="shared" si="2"/>
        <v/>
      </c>
      <c r="H9" s="23" t="s">
        <v>26</v>
      </c>
      <c r="I9" s="23"/>
      <c r="J9" s="23"/>
    </row>
    <row r="10" spans="1:10" ht="32">
      <c r="A10" s="27" t="s">
        <v>27</v>
      </c>
      <c r="B10" s="28" t="s">
        <v>28</v>
      </c>
      <c r="C10" s="18"/>
      <c r="D10" s="19"/>
      <c r="E10" s="33" t="str">
        <f t="shared" si="0"/>
        <v/>
      </c>
      <c r="F10" s="8" t="str">
        <f t="shared" si="1"/>
        <v/>
      </c>
      <c r="G10" s="28" t="str">
        <f t="shared" si="2"/>
        <v/>
      </c>
      <c r="H10" s="23" t="s">
        <v>29</v>
      </c>
      <c r="I10" s="23"/>
      <c r="J10" s="23"/>
    </row>
    <row r="11" spans="1:10" ht="32">
      <c r="A11" s="27" t="s">
        <v>30</v>
      </c>
      <c r="B11" s="28" t="s">
        <v>31</v>
      </c>
      <c r="C11" s="18"/>
      <c r="D11" s="19"/>
      <c r="E11" s="33" t="str">
        <f t="shared" si="0"/>
        <v/>
      </c>
      <c r="F11" s="8" t="str">
        <f t="shared" si="1"/>
        <v/>
      </c>
      <c r="G11" s="28" t="str">
        <f t="shared" si="2"/>
        <v/>
      </c>
      <c r="H11" s="23" t="s">
        <v>32</v>
      </c>
      <c r="I11" s="23"/>
      <c r="J11" s="23"/>
    </row>
    <row r="12" spans="1:10" ht="16">
      <c r="A12" s="27" t="s">
        <v>33</v>
      </c>
      <c r="B12" s="28" t="s">
        <v>34</v>
      </c>
      <c r="C12" s="18"/>
      <c r="D12" s="19"/>
      <c r="E12" s="33" t="str">
        <f t="shared" si="0"/>
        <v/>
      </c>
      <c r="F12" s="8" t="str">
        <f t="shared" si="1"/>
        <v/>
      </c>
      <c r="G12" s="28" t="str">
        <f t="shared" si="2"/>
        <v/>
      </c>
      <c r="H12" s="23" t="s">
        <v>35</v>
      </c>
      <c r="I12" s="23"/>
      <c r="J12" s="23"/>
    </row>
    <row r="13" spans="1:10" ht="32">
      <c r="A13" s="27" t="s">
        <v>36</v>
      </c>
      <c r="B13" s="28" t="s">
        <v>37</v>
      </c>
      <c r="C13" s="18"/>
      <c r="D13" s="19"/>
      <c r="E13" s="33" t="str">
        <f t="shared" si="0"/>
        <v/>
      </c>
      <c r="F13" s="8" t="str">
        <f t="shared" si="1"/>
        <v/>
      </c>
      <c r="G13" s="28" t="str">
        <f t="shared" si="2"/>
        <v/>
      </c>
      <c r="H13" s="23" t="s">
        <v>38</v>
      </c>
      <c r="I13" s="23"/>
      <c r="J13" s="23"/>
    </row>
    <row r="14" spans="1:10" ht="32">
      <c r="A14" s="27" t="s">
        <v>39</v>
      </c>
      <c r="B14" s="28" t="s">
        <v>40</v>
      </c>
      <c r="C14" s="18"/>
      <c r="D14" s="19"/>
      <c r="E14" s="33" t="str">
        <f t="shared" si="0"/>
        <v/>
      </c>
      <c r="F14" s="8" t="str">
        <f t="shared" si="1"/>
        <v/>
      </c>
      <c r="G14" s="28" t="str">
        <f t="shared" si="2"/>
        <v/>
      </c>
      <c r="H14" s="23" t="s">
        <v>41</v>
      </c>
      <c r="I14" s="23"/>
      <c r="J14" s="23"/>
    </row>
    <row r="15" spans="1:10" ht="16">
      <c r="A15" s="27" t="s">
        <v>42</v>
      </c>
      <c r="B15" s="28" t="s">
        <v>43</v>
      </c>
      <c r="C15" s="18"/>
      <c r="D15" s="19"/>
      <c r="E15" s="33" t="str">
        <f t="shared" si="0"/>
        <v/>
      </c>
      <c r="F15" s="8" t="str">
        <f t="shared" si="1"/>
        <v/>
      </c>
      <c r="G15" s="28" t="str">
        <f t="shared" si="2"/>
        <v/>
      </c>
      <c r="H15" s="23" t="s">
        <v>44</v>
      </c>
      <c r="I15" s="23"/>
      <c r="J15" s="23"/>
    </row>
    <row r="16" spans="1:10" ht="16">
      <c r="A16" s="29" t="s">
        <v>45</v>
      </c>
      <c r="B16" s="30" t="s">
        <v>46</v>
      </c>
      <c r="C16" s="20"/>
      <c r="D16" s="21"/>
      <c r="E16" s="34" t="str">
        <f t="shared" si="0"/>
        <v/>
      </c>
      <c r="F16" s="35" t="str">
        <f t="shared" si="1"/>
        <v/>
      </c>
      <c r="G16" s="30" t="str">
        <f t="shared" si="2"/>
        <v/>
      </c>
      <c r="H16" s="24" t="s">
        <v>47</v>
      </c>
      <c r="I16" s="24"/>
      <c r="J16" s="24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11" t="s">
        <v>48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32">
      <c r="A20" s="38" t="s">
        <v>49</v>
      </c>
      <c r="B20" s="7" t="str">
        <f>IF(COUNT(C5:C16)=0,"",AVERAGE(C5:C16))</f>
        <v/>
      </c>
      <c r="C20" s="3"/>
      <c r="D20" s="2" t="s">
        <v>50</v>
      </c>
      <c r="E20" s="2" t="s">
        <v>51</v>
      </c>
      <c r="F20" s="2" t="s">
        <v>52</v>
      </c>
      <c r="G20" s="2"/>
      <c r="H20" s="2"/>
      <c r="I20" s="2"/>
      <c r="J20" s="2"/>
    </row>
    <row r="21" spans="1:10" ht="64">
      <c r="A21" s="39" t="s">
        <v>53</v>
      </c>
      <c r="B21" s="7" t="str">
        <f>IF(COUNT(D5:D16)=0,"",AVERAGE(D5:D16))</f>
        <v/>
      </c>
      <c r="C21" s="3"/>
      <c r="D21" s="25" t="s">
        <v>54</v>
      </c>
      <c r="E21" s="36" t="s">
        <v>55</v>
      </c>
      <c r="F21" s="26" t="s">
        <v>56</v>
      </c>
      <c r="G21" s="3"/>
      <c r="H21" s="3"/>
      <c r="I21" s="3"/>
      <c r="J21" s="3"/>
    </row>
    <row r="22" spans="1:10" ht="48">
      <c r="A22" s="39" t="s">
        <v>57</v>
      </c>
      <c r="B22" s="7" t="str">
        <f>IF(OR(B20="",B21=""),"",B20-B21)</f>
        <v/>
      </c>
      <c r="C22" s="3"/>
      <c r="D22" s="27" t="s">
        <v>58</v>
      </c>
      <c r="E22" s="4" t="s">
        <v>59</v>
      </c>
      <c r="F22" s="28" t="s">
        <v>60</v>
      </c>
      <c r="G22" s="3"/>
      <c r="H22" s="3"/>
      <c r="I22" s="3"/>
      <c r="J22" s="3"/>
    </row>
    <row r="23" spans="1:10" ht="32">
      <c r="A23" s="39" t="s">
        <v>61</v>
      </c>
      <c r="B23" s="7" t="str">
        <f>IF(OR(B21="",B21=0),"",B20/B21)</f>
        <v/>
      </c>
      <c r="C23" s="3"/>
      <c r="D23" s="27" t="s">
        <v>62</v>
      </c>
      <c r="E23" s="4" t="s">
        <v>63</v>
      </c>
      <c r="F23" s="28" t="s">
        <v>64</v>
      </c>
      <c r="G23" s="3"/>
      <c r="H23" s="3"/>
      <c r="I23" s="3"/>
      <c r="J23" s="3"/>
    </row>
    <row r="24" spans="1:10" ht="48">
      <c r="A24" s="39" t="s">
        <v>65</v>
      </c>
      <c r="B24" s="3" t="str">
        <f>IF(B23="","",IF(B23&gt;=1.5,"Critical",IF(B23&gt;=1.2,"High",IF(B23&gt;=0.9,"Watch","Stable"))))</f>
        <v/>
      </c>
      <c r="C24" s="3"/>
      <c r="D24" s="27" t="s">
        <v>66</v>
      </c>
      <c r="E24" s="4" t="s">
        <v>67</v>
      </c>
      <c r="F24" s="28" t="s">
        <v>68</v>
      </c>
      <c r="G24" s="3"/>
      <c r="H24" s="3"/>
      <c r="I24" s="3"/>
      <c r="J24" s="3"/>
    </row>
    <row r="25" spans="1:10" ht="32">
      <c r="A25" s="40" t="s">
        <v>69</v>
      </c>
      <c r="B25" s="3" t="str">
        <f>IF(B23="","",IF(B23&gt;=1,"External pressure exceeds internal regulation","Internal regulation is absorbing pressure"))</f>
        <v/>
      </c>
      <c r="C25" s="3"/>
      <c r="D25" s="29" t="s">
        <v>70</v>
      </c>
      <c r="E25" s="37" t="s">
        <v>71</v>
      </c>
      <c r="F25" s="30" t="s">
        <v>72</v>
      </c>
      <c r="G25" s="3"/>
      <c r="H25" s="3"/>
      <c r="I25" s="3"/>
      <c r="J25" s="3"/>
    </row>
  </sheetData>
  <mergeCells count="3">
    <mergeCell ref="A1:J1"/>
    <mergeCell ref="A2:J2"/>
    <mergeCell ref="A19:J19"/>
  </mergeCells>
  <conditionalFormatting sqref="E5:E16">
    <cfRule type="dataBar" priority="5">
      <dataBar>
        <cfvo type="min"/>
        <cfvo type="max"/>
        <color rgb="FFA80033"/>
      </dataBar>
    </cfRule>
    <cfRule type="dataBar" priority="6">
      <dataBar>
        <cfvo type="min"/>
        <cfvo type="max"/>
        <color rgb="FFA80033"/>
      </dataBar>
      <extLst>
        <ext xmlns:x14="http://schemas.microsoft.com/office/spreadsheetml/2009/9/main" uri="{B025F937-C7B1-47D3-B67F-A62EFF666E3E}">
          <x14:id>{BE8CCA5C-16B0-C610-9362-53778896698C}</x14:id>
        </ext>
      </extLst>
    </cfRule>
  </conditionalFormatting>
  <conditionalFormatting sqref="G5:G16">
    <cfRule type="expression" dxfId="3" priority="1">
      <formula>G5="Critical"</formula>
    </cfRule>
    <cfRule type="expression" dxfId="2" priority="2">
      <formula>G5="High"</formula>
    </cfRule>
    <cfRule type="expression" dxfId="1" priority="3">
      <formula>G5="Watch"</formula>
    </cfRule>
    <cfRule type="expression" dxfId="0" priority="4">
      <formula>G5="Stable"</formula>
    </cfRule>
  </conditionalFormatting>
  <dataValidations count="1">
    <dataValidation type="whole" sqref="C5:D16" xr:uid="{00000000-0002-0000-0000-000000000000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8CCA5C-16B0-C610-9362-53778896698C}">
            <x14:dataBar>
              <x14:cfvo type="min"/>
              <x14:cfvo type="max"/>
              <x14:negativeFillColor auto="1"/>
              <x14:axisColor auto="1"/>
            </x14:dataBar>
          </x14:cfRule>
          <xm:sqref>E5:E16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sqref="A1:H1"/>
    </sheetView>
  </sheetViews>
  <sheetFormatPr baseColWidth="10" defaultColWidth="8.83203125" defaultRowHeight="15"/>
  <cols>
    <col min="1" max="1" width="24" customWidth="1"/>
    <col min="2" max="5" width="18" customWidth="1"/>
    <col min="6" max="6" width="16" customWidth="1"/>
    <col min="7" max="7" width="14" customWidth="1"/>
    <col min="8" max="8" width="30" customWidth="1"/>
  </cols>
  <sheetData>
    <row r="1" spans="1:10">
      <c r="A1" s="12" t="s">
        <v>73</v>
      </c>
      <c r="B1" s="12"/>
      <c r="C1" s="12"/>
      <c r="D1" s="12"/>
      <c r="E1" s="12"/>
      <c r="F1" s="12"/>
      <c r="G1" s="12"/>
      <c r="H1" s="12"/>
      <c r="I1" s="1"/>
      <c r="J1" s="1"/>
    </row>
    <row r="2" spans="1:10">
      <c r="A2" s="12" t="s">
        <v>74</v>
      </c>
      <c r="B2" s="12"/>
      <c r="C2" s="12"/>
      <c r="D2" s="12"/>
      <c r="E2" s="12"/>
      <c r="F2" s="12"/>
      <c r="G2" s="12"/>
      <c r="H2" s="12"/>
      <c r="I2" s="1"/>
      <c r="J2" s="1"/>
    </row>
    <row r="4" spans="1:10" ht="16">
      <c r="A4" s="5" t="s">
        <v>75</v>
      </c>
      <c r="B4" s="9" t="str">
        <f>'MOS Pressure Test'!B20</f>
        <v/>
      </c>
      <c r="C4" s="3"/>
      <c r="D4" s="5" t="s">
        <v>76</v>
      </c>
      <c r="E4" s="5"/>
      <c r="F4" s="5"/>
      <c r="G4" s="5"/>
      <c r="H4" s="5"/>
    </row>
    <row r="5" spans="1:10" ht="16">
      <c r="A5" s="3" t="s">
        <v>77</v>
      </c>
      <c r="B5" s="7" t="str">
        <f>'MOS Pressure Test'!B21</f>
        <v/>
      </c>
      <c r="C5" s="3"/>
      <c r="D5" s="5" t="s">
        <v>3</v>
      </c>
      <c r="E5" s="5" t="s">
        <v>78</v>
      </c>
      <c r="F5" s="5" t="s">
        <v>79</v>
      </c>
      <c r="G5" s="5" t="s">
        <v>80</v>
      </c>
      <c r="H5" s="5" t="s">
        <v>81</v>
      </c>
    </row>
    <row r="6" spans="1:10" ht="16">
      <c r="A6" s="3" t="s">
        <v>82</v>
      </c>
      <c r="B6" s="7" t="str">
        <f>'MOS Pressure Test'!B22</f>
        <v/>
      </c>
      <c r="C6" s="3"/>
      <c r="D6" s="3" t="str">
        <f>IF(COUNT('MOS Pressure Test'!E$5:E$16)&lt;1,"",INDEX('MOS Pressure Test'!B$5:B$16,MATCH(LARGE('MOS Pressure Test'!E$5:E$16,1),'MOS Pressure Test'!E$5:E$16,0)))</f>
        <v/>
      </c>
      <c r="E6" s="3" t="str">
        <f>IF(D6="","",INDEX('MOS Pressure Test'!C$5:C$16,MATCH(D6,'MOS Pressure Test'!B$5:B$16,0)))</f>
        <v/>
      </c>
      <c r="F6" s="3" t="str">
        <f>IF(D6="","",INDEX('MOS Pressure Test'!D$5:D$16,MATCH(D6,'MOS Pressure Test'!B$5:B$16,0)))</f>
        <v/>
      </c>
      <c r="G6" s="3" t="str">
        <f>IF(D6="","",E6-F6)</f>
        <v/>
      </c>
      <c r="H6" s="3" t="str">
        <f>IF(D6="","",INDEX('MOS Pressure Test'!G$5:G$16,MATCH(D6,'MOS Pressure Test'!B$5:B$16,0)))</f>
        <v/>
      </c>
    </row>
    <row r="7" spans="1:10" ht="32">
      <c r="A7" s="3" t="s">
        <v>61</v>
      </c>
      <c r="B7" s="7" t="str">
        <f>'MOS Pressure Test'!B23</f>
        <v/>
      </c>
      <c r="C7" s="3"/>
      <c r="D7" s="3" t="str">
        <f>IF(COUNT('MOS Pressure Test'!E$5:E$16)&lt;2,"",INDEX('MOS Pressure Test'!B$5:B$16,MATCH(LARGE('MOS Pressure Test'!E$5:E$16,2),'MOS Pressure Test'!E$5:E$16,0)))</f>
        <v/>
      </c>
      <c r="E7" s="3" t="str">
        <f>IF(D7="","",INDEX('MOS Pressure Test'!C$5:C$16,MATCH(D7,'MOS Pressure Test'!B$5:B$16,0)))</f>
        <v/>
      </c>
      <c r="F7" s="3" t="str">
        <f>IF(D7="","",INDEX('MOS Pressure Test'!D$5:D$16,MATCH(D7,'MOS Pressure Test'!B$5:B$16,0)))</f>
        <v/>
      </c>
      <c r="G7" s="3" t="str">
        <f>IF(D7="","",E7-F7)</f>
        <v/>
      </c>
      <c r="H7" s="3" t="str">
        <f>IF(D7="","",INDEX('MOS Pressure Test'!G$5:G$16,MATCH(D7,'MOS Pressure Test'!B$5:B$16,0)))</f>
        <v/>
      </c>
    </row>
    <row r="8" spans="1:10" ht="16">
      <c r="A8" s="3" t="s">
        <v>83</v>
      </c>
      <c r="B8" s="3" t="str">
        <f>'MOS Pressure Test'!B24</f>
        <v/>
      </c>
      <c r="C8" s="3"/>
      <c r="D8" s="3" t="str">
        <f>IF(COUNT('MOS Pressure Test'!E$5:E$16)&lt;3,"",INDEX('MOS Pressure Test'!B$5:B$16,MATCH(LARGE('MOS Pressure Test'!E$5:E$16,3),'MOS Pressure Test'!E$5:E$16,0)))</f>
        <v/>
      </c>
      <c r="E8" s="3" t="str">
        <f>IF(D8="","",INDEX('MOS Pressure Test'!C$5:C$16,MATCH(D8,'MOS Pressure Test'!B$5:B$16,0)))</f>
        <v/>
      </c>
      <c r="F8" s="3" t="str">
        <f>IF(D8="","",INDEX('MOS Pressure Test'!D$5:D$16,MATCH(D8,'MOS Pressure Test'!B$5:B$16,0)))</f>
        <v/>
      </c>
      <c r="G8" s="3" t="str">
        <f>IF(D8="","",E8-F8)</f>
        <v/>
      </c>
      <c r="H8" s="3" t="str">
        <f>IF(D8="","",INDEX('MOS Pressure Test'!G$5:G$16,MATCH(D8,'MOS Pressure Test'!B$5:B$16,0)))</f>
        <v/>
      </c>
    </row>
    <row r="9" spans="1:10" ht="16">
      <c r="A9" s="3" t="s">
        <v>84</v>
      </c>
      <c r="B9" s="3" t="str">
        <f>'MOS Pressure Test'!B25</f>
        <v/>
      </c>
      <c r="C9" s="3"/>
      <c r="D9" s="3" t="str">
        <f>IF(COUNT('MOS Pressure Test'!E$5:E$16)&lt;4,"",INDEX('MOS Pressure Test'!B$5:B$16,MATCH(LARGE('MOS Pressure Test'!E$5:E$16,4),'MOS Pressure Test'!E$5:E$16,0)))</f>
        <v/>
      </c>
      <c r="E9" s="3" t="str">
        <f>IF(D9="","",INDEX('MOS Pressure Test'!C$5:C$16,MATCH(D9,'MOS Pressure Test'!B$5:B$16,0)))</f>
        <v/>
      </c>
      <c r="F9" s="3" t="str">
        <f>IF(D9="","",INDEX('MOS Pressure Test'!D$5:D$16,MATCH(D9,'MOS Pressure Test'!B$5:B$16,0)))</f>
        <v/>
      </c>
      <c r="G9" s="3" t="str">
        <f>IF(D9="","",E9-F9)</f>
        <v/>
      </c>
      <c r="H9" s="3" t="str">
        <f>IF(D9="","",INDEX('MOS Pressure Test'!G$5:G$16,MATCH(D9,'MOS Pressure Test'!B$5:B$16,0)))</f>
        <v/>
      </c>
    </row>
    <row r="10" spans="1:10">
      <c r="A10" s="3"/>
      <c r="B10" s="3"/>
      <c r="C10" s="3"/>
      <c r="D10" s="3"/>
      <c r="E10" s="3"/>
      <c r="F10" s="3"/>
      <c r="G10" s="3"/>
      <c r="H10" s="3"/>
    </row>
    <row r="11" spans="1:10">
      <c r="A11" s="3"/>
      <c r="B11" s="3"/>
      <c r="C11" s="3"/>
      <c r="D11" s="3"/>
      <c r="E11" s="3"/>
      <c r="F11" s="3"/>
      <c r="G11" s="3"/>
      <c r="H11" s="3"/>
    </row>
    <row r="12" spans="1:10">
      <c r="A12" s="13" t="s">
        <v>85</v>
      </c>
      <c r="B12" s="13"/>
      <c r="C12" s="13"/>
      <c r="D12" s="13"/>
      <c r="E12" s="13"/>
      <c r="F12" s="13"/>
      <c r="G12" s="13"/>
      <c r="H12" s="13"/>
    </row>
    <row r="13" spans="1:10">
      <c r="A13" s="14" t="str">
        <f>IF(B7="","Enter pressure and regulation scores on the MOS Pressure Test tab to generate an interpretation.",IF(B8="Critical","The MOS is under structural stress. Immediate leadership intervention is required: reduce decision delay, restore ownership, and protect escalation flow.",IF(B8="High","Instability is forming. Focus on the largest pressure gaps before they become financial or customer-visible issues.",IF(B8="Watch","The system is nearing its pressure threshold. Tighten cadence, ownership, and escalation discipline.","The MOS is currently absorbing pressure. Continue monitoring for hidden signal compression."))))</f>
        <v>Enter pressure and regulation scores on the MOS Pressure Test tab to generate an interpretation.</v>
      </c>
      <c r="B13" s="14"/>
      <c r="C13" s="14"/>
      <c r="D13" s="14"/>
      <c r="E13" s="14"/>
      <c r="F13" s="14"/>
      <c r="G13" s="14"/>
      <c r="H13" s="14"/>
    </row>
    <row r="14" spans="1:10">
      <c r="A14" s="14"/>
      <c r="B14" s="14"/>
      <c r="C14" s="14"/>
      <c r="D14" s="14"/>
      <c r="E14" s="14"/>
      <c r="F14" s="14"/>
      <c r="G14" s="14"/>
      <c r="H14" s="14"/>
    </row>
    <row r="15" spans="1:10">
      <c r="A15" s="14"/>
      <c r="B15" s="14"/>
      <c r="C15" s="14"/>
      <c r="D15" s="14"/>
      <c r="E15" s="14"/>
      <c r="F15" s="14"/>
      <c r="G15" s="14"/>
      <c r="H15" s="14"/>
    </row>
    <row r="16" spans="1:10">
      <c r="A16" s="14"/>
      <c r="B16" s="14"/>
      <c r="C16" s="14"/>
      <c r="D16" s="14"/>
      <c r="E16" s="14"/>
      <c r="F16" s="14"/>
      <c r="G16" s="14"/>
      <c r="H16" s="14"/>
    </row>
    <row r="17" spans="1:8">
      <c r="A17" s="14"/>
      <c r="B17" s="14"/>
      <c r="C17" s="14"/>
      <c r="D17" s="14"/>
      <c r="E17" s="14"/>
      <c r="F17" s="14"/>
      <c r="G17" s="14"/>
      <c r="H17" s="14"/>
    </row>
  </sheetData>
  <mergeCells count="4">
    <mergeCell ref="A1:H1"/>
    <mergeCell ref="A2:H2"/>
    <mergeCell ref="A12:H12"/>
    <mergeCell ref="A13:H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sqref="A1:H1"/>
    </sheetView>
  </sheetViews>
  <sheetFormatPr baseColWidth="10" defaultColWidth="8.83203125" defaultRowHeight="15"/>
  <cols>
    <col min="1" max="1" width="24" customWidth="1"/>
    <col min="2" max="5" width="18" customWidth="1"/>
    <col min="6" max="6" width="16" customWidth="1"/>
    <col min="7" max="7" width="14" customWidth="1"/>
    <col min="8" max="8" width="30" customWidth="1"/>
  </cols>
  <sheetData>
    <row r="1" spans="1:10">
      <c r="A1" s="12" t="s">
        <v>86</v>
      </c>
      <c r="B1" s="12"/>
      <c r="C1" s="12"/>
      <c r="D1" s="12"/>
      <c r="E1" s="12"/>
      <c r="F1" s="12"/>
      <c r="G1" s="12"/>
      <c r="H1" s="12"/>
      <c r="I1" s="1"/>
      <c r="J1" s="1"/>
    </row>
    <row r="2" spans="1:10">
      <c r="A2" s="12" t="s">
        <v>87</v>
      </c>
      <c r="B2" s="12"/>
      <c r="C2" s="12"/>
      <c r="D2" s="12"/>
      <c r="E2" s="12"/>
      <c r="F2" s="12"/>
      <c r="G2" s="12"/>
      <c r="H2" s="12"/>
      <c r="I2" s="1"/>
      <c r="J2" s="1"/>
    </row>
    <row r="4" spans="1:10" ht="16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8</v>
      </c>
      <c r="H4" s="5" t="s">
        <v>94</v>
      </c>
    </row>
    <row r="5" spans="1:10" ht="16">
      <c r="A5" s="3" t="s">
        <v>95</v>
      </c>
      <c r="B5" s="6">
        <v>0.3</v>
      </c>
      <c r="C5" s="6">
        <v>0</v>
      </c>
      <c r="D5" s="7" t="str">
        <f>IF('MOS Pressure Test'!B20="","",'MOS Pressure Test'!B20*(1+B5))</f>
        <v/>
      </c>
      <c r="E5" s="7" t="str">
        <f>IF('MOS Pressure Test'!B21="","",'MOS Pressure Test'!B21*(1+C5))</f>
        <v/>
      </c>
      <c r="F5" s="7" t="str">
        <f t="shared" ref="F5:F10" si="0">IF(OR(D5="",E5="",E5=0),"",D5/E5)</f>
        <v/>
      </c>
      <c r="G5" s="3" t="str">
        <f t="shared" ref="G5:G10" si="1">IF(F5="","",IF(F5&gt;=1.5,"Critical",IF(F5&gt;=1.2,"High",IF(F5&gt;=0.9,"Watch","Stable"))))</f>
        <v/>
      </c>
      <c r="H5" s="3" t="str">
        <f t="shared" ref="H5:H10" si="2">IF(G5="","",IF(G5="Critical","Immediate intervention",IF(G5="High","Reduce pressure gaps",IF(G5="Watch","Tighten MOS controls","Monitor"))))</f>
        <v/>
      </c>
    </row>
    <row r="6" spans="1:10" ht="16">
      <c r="A6" s="3" t="s">
        <v>96</v>
      </c>
      <c r="B6" s="6">
        <v>0.25</v>
      </c>
      <c r="C6" s="6">
        <v>-0.1</v>
      </c>
      <c r="D6" s="7" t="str">
        <f>IF('MOS Pressure Test'!B20="","",'MOS Pressure Test'!B20*(1+B6))</f>
        <v/>
      </c>
      <c r="E6" s="7" t="str">
        <f>IF('MOS Pressure Test'!B21="","",'MOS Pressure Test'!B21*(1+C6))</f>
        <v/>
      </c>
      <c r="F6" s="7" t="str">
        <f t="shared" si="0"/>
        <v/>
      </c>
      <c r="G6" s="3" t="str">
        <f t="shared" si="1"/>
        <v/>
      </c>
      <c r="H6" s="3" t="str">
        <f t="shared" si="2"/>
        <v/>
      </c>
    </row>
    <row r="7" spans="1:10" ht="16">
      <c r="A7" s="3" t="s">
        <v>97</v>
      </c>
      <c r="B7" s="6">
        <v>0.2</v>
      </c>
      <c r="C7" s="6">
        <v>-0.15</v>
      </c>
      <c r="D7" s="7" t="str">
        <f>IF('MOS Pressure Test'!B20="","",'MOS Pressure Test'!B20*(1+B7))</f>
        <v/>
      </c>
      <c r="E7" s="7" t="str">
        <f>IF('MOS Pressure Test'!B21="","",'MOS Pressure Test'!B21*(1+C7))</f>
        <v/>
      </c>
      <c r="F7" s="7" t="str">
        <f t="shared" si="0"/>
        <v/>
      </c>
      <c r="G7" s="3" t="str">
        <f t="shared" si="1"/>
        <v/>
      </c>
      <c r="H7" s="3" t="str">
        <f t="shared" si="2"/>
        <v/>
      </c>
    </row>
    <row r="8" spans="1:10" ht="16">
      <c r="A8" s="3" t="s">
        <v>98</v>
      </c>
      <c r="B8" s="6">
        <v>0.15</v>
      </c>
      <c r="C8" s="6">
        <v>-0.2</v>
      </c>
      <c r="D8" s="7" t="str">
        <f>IF('MOS Pressure Test'!B20="","",'MOS Pressure Test'!B20*(1+B8))</f>
        <v/>
      </c>
      <c r="E8" s="7" t="str">
        <f>IF('MOS Pressure Test'!B21="","",'MOS Pressure Test'!B21*(1+C8))</f>
        <v/>
      </c>
      <c r="F8" s="7" t="str">
        <f t="shared" si="0"/>
        <v/>
      </c>
      <c r="G8" s="3" t="str">
        <f t="shared" si="1"/>
        <v/>
      </c>
      <c r="H8" s="3" t="str">
        <f t="shared" si="2"/>
        <v/>
      </c>
    </row>
    <row r="9" spans="1:10" ht="16">
      <c r="A9" s="3" t="s">
        <v>99</v>
      </c>
      <c r="B9" s="6">
        <v>0.4</v>
      </c>
      <c r="C9" s="6">
        <v>-0.25</v>
      </c>
      <c r="D9" s="7" t="str">
        <f>IF('MOS Pressure Test'!B20="","",'MOS Pressure Test'!B20*(1+B9))</f>
        <v/>
      </c>
      <c r="E9" s="7" t="str">
        <f>IF('MOS Pressure Test'!B21="","",'MOS Pressure Test'!B21*(1+C9))</f>
        <v/>
      </c>
      <c r="F9" s="7" t="str">
        <f t="shared" si="0"/>
        <v/>
      </c>
      <c r="G9" s="3" t="str">
        <f t="shared" si="1"/>
        <v/>
      </c>
      <c r="H9" s="3" t="str">
        <f t="shared" si="2"/>
        <v/>
      </c>
    </row>
    <row r="10" spans="1:10" ht="16">
      <c r="A10" s="3" t="s">
        <v>100</v>
      </c>
      <c r="B10" s="6">
        <v>0</v>
      </c>
      <c r="C10" s="6">
        <v>0</v>
      </c>
      <c r="D10" s="7" t="str">
        <f>IF('MOS Pressure Test'!B20="","",'MOS Pressure Test'!B20*(1+B10))</f>
        <v/>
      </c>
      <c r="E10" s="7" t="str">
        <f>IF('MOS Pressure Test'!B21="","",'MOS Pressure Test'!B21*(1+C10))</f>
        <v/>
      </c>
      <c r="F10" s="7" t="str">
        <f t="shared" si="0"/>
        <v/>
      </c>
      <c r="G10" s="3" t="str">
        <f t="shared" si="1"/>
        <v/>
      </c>
      <c r="H10" s="3" t="str">
        <f t="shared" si="2"/>
        <v/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sqref="A1:D1"/>
    </sheetView>
  </sheetViews>
  <sheetFormatPr baseColWidth="10" defaultColWidth="8.83203125" defaultRowHeight="15"/>
  <cols>
    <col min="1" max="1" width="26" customWidth="1"/>
    <col min="2" max="2" width="34" customWidth="1"/>
    <col min="3" max="4" width="36" customWidth="1"/>
  </cols>
  <sheetData>
    <row r="1" spans="1:10">
      <c r="A1" s="12" t="s">
        <v>101</v>
      </c>
      <c r="B1" s="12"/>
      <c r="C1" s="12"/>
      <c r="D1" s="12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6">
      <c r="A3" s="5" t="s">
        <v>102</v>
      </c>
      <c r="B3" s="5" t="s">
        <v>103</v>
      </c>
      <c r="C3" s="5" t="s">
        <v>104</v>
      </c>
      <c r="D3" s="5" t="s">
        <v>105</v>
      </c>
    </row>
    <row r="4" spans="1:10" ht="32">
      <c r="A4" s="3" t="s">
        <v>13</v>
      </c>
      <c r="B4" s="3" t="s">
        <v>106</v>
      </c>
      <c r="C4" s="3" t="s">
        <v>107</v>
      </c>
      <c r="D4" s="3" t="s">
        <v>108</v>
      </c>
    </row>
    <row r="5" spans="1:10" ht="32">
      <c r="A5" s="3" t="s">
        <v>16</v>
      </c>
      <c r="B5" s="3" t="s">
        <v>109</v>
      </c>
      <c r="C5" s="3" t="s">
        <v>110</v>
      </c>
      <c r="D5" s="3" t="s">
        <v>111</v>
      </c>
    </row>
    <row r="6" spans="1:10" ht="32">
      <c r="A6" s="3" t="s">
        <v>19</v>
      </c>
      <c r="B6" s="3" t="s">
        <v>112</v>
      </c>
      <c r="C6" s="3" t="s">
        <v>113</v>
      </c>
      <c r="D6" s="3" t="s">
        <v>114</v>
      </c>
    </row>
    <row r="7" spans="1:10" ht="32">
      <c r="A7" s="3" t="s">
        <v>22</v>
      </c>
      <c r="B7" s="3" t="s">
        <v>115</v>
      </c>
      <c r="C7" s="3" t="s">
        <v>116</v>
      </c>
      <c r="D7" s="3" t="s">
        <v>117</v>
      </c>
    </row>
    <row r="8" spans="1:10" ht="32">
      <c r="A8" s="3" t="s">
        <v>25</v>
      </c>
      <c r="B8" s="3" t="s">
        <v>118</v>
      </c>
      <c r="C8" s="3" t="s">
        <v>119</v>
      </c>
      <c r="D8" s="3" t="s">
        <v>120</v>
      </c>
    </row>
    <row r="9" spans="1:10" ht="32">
      <c r="A9" s="3" t="s">
        <v>28</v>
      </c>
      <c r="B9" s="3" t="s">
        <v>121</v>
      </c>
      <c r="C9" s="3" t="s">
        <v>122</v>
      </c>
      <c r="D9" s="3" t="s">
        <v>123</v>
      </c>
    </row>
    <row r="10" spans="1:10" ht="32">
      <c r="A10" s="3" t="s">
        <v>31</v>
      </c>
      <c r="B10" s="3" t="s">
        <v>124</v>
      </c>
      <c r="C10" s="3" t="s">
        <v>125</v>
      </c>
      <c r="D10" s="3" t="s">
        <v>126</v>
      </c>
    </row>
    <row r="11" spans="1:10" ht="32">
      <c r="A11" s="3" t="s">
        <v>34</v>
      </c>
      <c r="B11" s="3" t="s">
        <v>127</v>
      </c>
      <c r="C11" s="3" t="s">
        <v>128</v>
      </c>
      <c r="D11" s="3" t="s">
        <v>129</v>
      </c>
    </row>
    <row r="12" spans="1:10" ht="32">
      <c r="A12" s="3" t="s">
        <v>130</v>
      </c>
      <c r="B12" s="3" t="s">
        <v>131</v>
      </c>
      <c r="C12" s="3" t="s">
        <v>132</v>
      </c>
      <c r="D12" s="3" t="s">
        <v>133</v>
      </c>
    </row>
    <row r="13" spans="1:10" ht="32">
      <c r="A13" s="3" t="s">
        <v>134</v>
      </c>
      <c r="B13" s="3" t="s">
        <v>135</v>
      </c>
      <c r="C13" s="3" t="s">
        <v>136</v>
      </c>
      <c r="D13" s="3" t="s">
        <v>137</v>
      </c>
    </row>
    <row r="14" spans="1:10" ht="32">
      <c r="A14" s="3" t="s">
        <v>43</v>
      </c>
      <c r="B14" s="3" t="s">
        <v>138</v>
      </c>
      <c r="C14" s="3" t="s">
        <v>139</v>
      </c>
      <c r="D14" s="3" t="s">
        <v>140</v>
      </c>
    </row>
    <row r="15" spans="1:10" ht="32">
      <c r="A15" s="3" t="s">
        <v>46</v>
      </c>
      <c r="B15" s="3" t="s">
        <v>141</v>
      </c>
      <c r="C15" s="3" t="s">
        <v>142</v>
      </c>
      <c r="D15" s="3" t="s">
        <v>143</v>
      </c>
    </row>
    <row r="16" spans="1:10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 ht="16">
      <c r="A18" s="5" t="s">
        <v>144</v>
      </c>
      <c r="B18" s="5"/>
      <c r="C18" s="5"/>
      <c r="D18" s="5"/>
    </row>
    <row r="19" spans="1:4" ht="16">
      <c r="A19" s="3" t="s">
        <v>145</v>
      </c>
      <c r="B19" s="3" t="s">
        <v>146</v>
      </c>
      <c r="C19" s="3" t="s">
        <v>147</v>
      </c>
      <c r="D19" s="3" t="s">
        <v>148</v>
      </c>
    </row>
    <row r="20" spans="1:4" ht="16">
      <c r="A20" s="3" t="s">
        <v>149</v>
      </c>
      <c r="B20" s="3" t="s">
        <v>150</v>
      </c>
      <c r="C20" s="3" t="s">
        <v>151</v>
      </c>
      <c r="D20" s="3" t="s">
        <v>152</v>
      </c>
    </row>
    <row r="21" spans="1:4" ht="16">
      <c r="A21" s="3" t="s">
        <v>153</v>
      </c>
      <c r="B21" s="3" t="s">
        <v>154</v>
      </c>
      <c r="C21" s="3" t="s">
        <v>155</v>
      </c>
      <c r="D21" s="3" t="s">
        <v>156</v>
      </c>
    </row>
    <row r="22" spans="1:4" ht="16">
      <c r="A22" s="3" t="s">
        <v>157</v>
      </c>
      <c r="B22" s="3" t="s">
        <v>158</v>
      </c>
      <c r="C22" s="3" t="s">
        <v>159</v>
      </c>
      <c r="D22" s="3" t="s">
        <v>160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MOS Pressure Test</vt:lpstr>
      <vt:lpstr>Dashboard</vt:lpstr>
      <vt:lpstr>Scenario Tests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Applegate</cp:lastModifiedBy>
  <dcterms:modified xsi:type="dcterms:W3CDTF">2026-05-14T11:48:17Z</dcterms:modified>
</cp:coreProperties>
</file>